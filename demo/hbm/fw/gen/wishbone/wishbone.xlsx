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word" state="visible" r:id="rId4"/>
    <sheet sheetId="2" name="dword" state="visible" r:id="rId5"/>
    <sheet sheetId="3" name="hbm" state="visible" r:id="rId6"/>
  </sheets>
  <calcPr calcId="171027"/>
</workbook>
</file>

<file path=xl/comments1.xml><?xml version="1.0" encoding="utf-8"?>
<comments xmlns="http://schemas.openxmlformats.org/spreadsheetml/2006/main">
  <authors>
    <author>Author</author>
  </authors>
  <commentList>
    <comment ref="H1" authorId="0">
      <text>
        <r>
          <t xml:space="preserve">HBM aword CSR (command/address lane)
Per-pstate cells are replicated 4x. The bank is selected by the fabric
TGA slice, not by an address bit inside this leaf, so software keeps
using one offset per register and switches pstate on the way in.
ID/STATUS are shared across pstates.</t>
        </r>
      </text>
    </comment>
  </commentList>
</comments>
</file>

<file path=xl/comments2.xml><?xml version="1.0" encoding="utf-8"?>
<comments xmlns="http://schemas.openxmlformats.org/spreadsheetml/2006/main">
  <authors>
    <author>Author</author>
  </authors>
  <commentList>
    <comment ref="H1" authorId="0">
      <text>
        <r>
          <t xml:space="preserve">HBM dword CSR (data lane)
Hung twice per channel (dword0 / dword1) from one RegfileDef, so the
leaf RTL, the C header and the uvm_reg class exist once.
VREF/EQ are per-pstate; ID/STATUS are shared.</t>
        </r>
      </text>
    </comment>
  </commentList>
</comments>
</file>

<file path=xl/sharedStrings.xml><?xml version="1.0" encoding="utf-8"?>
<sst xmlns="http://schemas.openxmlformats.org/spreadsheetml/2006/main" count="397" uniqueCount="141">
  <si>
    <t xml:space="preserve">Sub-Addr
(Hex)</t>
  </si>
  <si>
    <t xml:space="preserve">Start
Bit</t>
  </si>
  <si>
    <t xml:space="preserve">End
Bit</t>
  </si>
  <si>
    <t xml:space="preserve">Bit
Width</t>
  </si>
  <si>
    <t xml:space="preserve">Default
Value</t>
  </si>
  <si>
    <t xml:space="preserve">R/W
Property</t>
  </si>
  <si>
    <t xml:space="preserve">Register
Name</t>
  </si>
  <si>
    <t>Register Description</t>
  </si>
  <si>
    <t xml:space="preserve">Reset
Value (Dec)</t>
  </si>
  <si>
    <t xml:space="preserve">Reset
Value (Hex)</t>
  </si>
  <si>
    <t xml:space="preserve">Reset
Value (Sum)</t>
  </si>
  <si>
    <t>SHADOW</t>
  </si>
  <si>
    <t>00000000</t>
  </si>
  <si>
    <t/>
  </si>
  <si>
    <t>ID</t>
  </si>
  <si>
    <t>Lane identity</t>
  </si>
  <si>
    <t>RC</t>
  </si>
  <si>
    <t>version</t>
  </si>
  <si>
    <t>Version</t>
  </si>
  <si>
    <t>magic</t>
  </si>
  <si>
    <t>Magic</t>
  </si>
  <si>
    <t>00000004</t>
  </si>
  <si>
    <t>STATUS</t>
  </si>
  <si>
    <t>Lane status</t>
  </si>
  <si>
    <t>RO</t>
  </si>
  <si>
    <t>reserved</t>
  </si>
  <si>
    <t>RESERVED</t>
  </si>
  <si>
    <t>err_code</t>
  </si>
  <si>
    <t>Last error code</t>
  </si>
  <si>
    <t>cal_done</t>
  </si>
  <si>
    <t>Calibration done</t>
  </si>
  <si>
    <t>00000008</t>
  </si>
  <si>
    <t>TIMING</t>
  </si>
  <si>
    <t>Per-pstate command timing</t>
  </si>
  <si>
    <t>pstate</t>
  </si>
  <si>
    <t>RW</t>
  </si>
  <si>
    <t>trp</t>
  </si>
  <si>
    <t>Row precharge (clk)</t>
  </si>
  <si>
    <t>trcd</t>
  </si>
  <si>
    <t>RAS-to-CAS delay (clk)</t>
  </si>
  <si>
    <t>0000000c</t>
  </si>
  <si>
    <t>DRIVE</t>
  </si>
  <si>
    <t>Per-pstate output drive</t>
  </si>
  <si>
    <t>ca_drive</t>
  </si>
  <si>
    <t>CA driver strength</t>
  </si>
  <si>
    <t>eye_width</t>
  </si>
  <si>
    <t>Measured eye width</t>
  </si>
  <si>
    <t>train_done</t>
  </si>
  <si>
    <t>Read training done</t>
  </si>
  <si>
    <t>00000010</t>
  </si>
  <si>
    <t>TRAIN</t>
  </si>
  <si>
    <t>Per-lane train pass (active low)</t>
  </si>
  <si>
    <t>train_pass_n</t>
  </si>
  <si>
    <t>0 = lane passed read training</t>
  </si>
  <si>
    <t>VREF</t>
  </si>
  <si>
    <t>Per-pstate receiver reference</t>
  </si>
  <si>
    <t>level</t>
  </si>
  <si>
    <t>VREF DAC code</t>
  </si>
  <si>
    <t>EQ</t>
  </si>
  <si>
    <t>Per-pstate equalisation</t>
  </si>
  <si>
    <t>tap1</t>
  </si>
  <si>
    <t>DFE tap 1</t>
  </si>
  <si>
    <t>tap0</t>
  </si>
  <si>
    <t>DFE tap 0</t>
  </si>
  <si>
    <t>Address</t>
  </si>
  <si>
    <t>Window</t>
  </si>
  <si>
    <t>Size</t>
  </si>
  <si>
    <t>Leaf</t>
  </si>
  <si>
    <t>Bits</t>
  </si>
  <si>
    <t>Broadcast</t>
  </si>
  <si>
    <t>Shadow</t>
  </si>
  <si>
    <t>Description</t>
  </si>
  <si>
    <t>0x00000000</t>
  </si>
  <si>
    <t>ch0</t>
  </si>
  <si>
    <t>0x00001000</t>
  </si>
  <si>
    <t>hbm_ch</t>
  </si>
  <si>
    <t>by ch_all</t>
  </si>
  <si>
    <t>HBM channel 0</t>
  </si>
  <si>
    <t>aword</t>
  </si>
  <si>
    <t>0x00000100</t>
  </si>
  <si>
    <t>ID@0x0 magic[15:0] version[31:16]; STATUS@0x4 cal_done[0:0] err_code[15:8]; TIMING@0x8 trcd[7:0] trp[15:8]; DRIVE@0xc ca_drive[3:0]</t>
  </si>
  <si>
    <t>HBM aword CSR (command/address lane)</t>
  </si>
  <si>
    <t>dword0</t>
  </si>
  <si>
    <t>dword</t>
  </si>
  <si>
    <t>ID@0x0 magic[15:0] version[31:16]; STATUS@0x4 train_done[0:0] eye_width[15:8]; TRAIN@0x10 train_pass_n[0:0]; VREF@0x8 level[6:0]; EQ@0xc tap0[4:0] tap1[12:8]</t>
  </si>
  <si>
    <t>by dword_all</t>
  </si>
  <si>
    <t>HBM dword CSR (data lane)</t>
  </si>
  <si>
    <t>0x00000200</t>
  </si>
  <si>
    <t>dword1</t>
  </si>
  <si>
    <t>0x00000300</t>
  </si>
  <si>
    <t>dword_bcast</t>
  </si>
  <si>
    <t>dword_all</t>
  </si>
  <si>
    <t>broadcast dword0 and dword1</t>
  </si>
  <si>
    <t>ch1</t>
  </si>
  <si>
    <t>HBM channel 1</t>
  </si>
  <si>
    <t>0x00002000</t>
  </si>
  <si>
    <t>ch2</t>
  </si>
  <si>
    <t>HBM channel 2</t>
  </si>
  <si>
    <t>0x00003000</t>
  </si>
  <si>
    <t>ch3</t>
  </si>
  <si>
    <t>HBM channel 3</t>
  </si>
  <si>
    <t>0x00004000</t>
  </si>
  <si>
    <t>ch4</t>
  </si>
  <si>
    <t>HBM channel 4</t>
  </si>
  <si>
    <t>0x00005000</t>
  </si>
  <si>
    <t>ch5</t>
  </si>
  <si>
    <t>HBM channel 5</t>
  </si>
  <si>
    <t>0x00006000</t>
  </si>
  <si>
    <t>ch6</t>
  </si>
  <si>
    <t>HBM channel 6</t>
  </si>
  <si>
    <t>0x00007000</t>
  </si>
  <si>
    <t>ch7</t>
  </si>
  <si>
    <t>HBM channel 7</t>
  </si>
  <si>
    <t>0x00008000</t>
  </si>
  <si>
    <t>ch8</t>
  </si>
  <si>
    <t>HBM channel 8</t>
  </si>
  <si>
    <t>0x00009000</t>
  </si>
  <si>
    <t>ch9</t>
  </si>
  <si>
    <t>HBM channel 9</t>
  </si>
  <si>
    <t>0x0000a000</t>
  </si>
  <si>
    <t>ch10</t>
  </si>
  <si>
    <t>HBM channel 10</t>
  </si>
  <si>
    <t>0x0000b000</t>
  </si>
  <si>
    <t>ch11</t>
  </si>
  <si>
    <t>HBM channel 11</t>
  </si>
  <si>
    <t>0x0000c000</t>
  </si>
  <si>
    <t>ch12</t>
  </si>
  <si>
    <t>HBM channel 12</t>
  </si>
  <si>
    <t>0x0000d000</t>
  </si>
  <si>
    <t>ch13</t>
  </si>
  <si>
    <t>HBM channel 13</t>
  </si>
  <si>
    <t>0x0000e000</t>
  </si>
  <si>
    <t>ch14</t>
  </si>
  <si>
    <t>HBM channel 14</t>
  </si>
  <si>
    <t>0x0000f000</t>
  </si>
  <si>
    <t>ch15</t>
  </si>
  <si>
    <t>HBM channel 15</t>
  </si>
  <si>
    <t>0x00010000</t>
  </si>
  <si>
    <t>ch_bcast</t>
  </si>
  <si>
    <t>ch_all</t>
  </si>
  <si>
    <t>broadcast all 16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</si>
</sst>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name val="Calibri"/>
    </font>
  </fonts>
  <fills count="5">
    <fill>
      <patternFill patternType="none"/>
    </fill>
    <fill>
      <patternFill patternType="gray125"/>
    </fill>
    <fill>
      <patternFill patternType="solid">
        <fgColor rgb="FFCCFFCC"/>
      </patternFill>
    </fill>
    <fill>
      <patternFill patternType="solid">
        <fgColor rgb="FFFFFF00"/>
      </patternFill>
    </fill>
    <fill>
      <patternFill patternType="solid">
        <fgColor rgb="FFD0D0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1" xfId="0" applyFill="1" applyBorder="1"/>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FormatPr defaultRowHeight="15" outlineLevelRow="0" outlineLevelCol="0" x14ac:dyDescent="55"/>
  <cols>
    <col min="5" max="5" width="16" customWidth="1"/>
    <col min="7" max="7" width="30" customWidth="1"/>
    <col min="8" max="8" width="40" customWidth="1"/>
    <col min="10" max="12" width="16" customWidth="1"/>
  </cols>
  <sheetData>
    <row r="1" ht="30"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t="s">
        <v>13</v>
      </c>
      <c r="C2" s="2" t="s">
        <v>13</v>
      </c>
      <c r="D2" s="2">
        <f>SUM(D3:D4)</f>
      </c>
      <c r="E2" s="2">
        <f>CONCATENATE("32'h",J2)</f>
      </c>
      <c r="F2" s="2" t="s">
        <v>13</v>
      </c>
      <c r="G2" s="2" t="s">
        <v>14</v>
      </c>
      <c r="H2" s="2" t="s">
        <v>15</v>
      </c>
      <c r="I2" s="2" t="s">
        <v>13</v>
      </c>
      <c r="J2" s="2">
        <f>LOWER(DEC2HEX(K2, 8))</f>
      </c>
      <c r="K2" s="2">
        <f>SUM(K3:K4)</f>
      </c>
      <c r="L2" s="2" t="s">
        <v>13</v>
      </c>
    </row>
    <row r="3" spans="1:12" x14ac:dyDescent="0.25">
      <c r="A3" s="3" t="s">
        <v>13</v>
      </c>
      <c r="B3" s="3">
        <v>16</v>
      </c>
      <c r="C3" s="3">
        <v>31</v>
      </c>
      <c r="D3" s="3">
        <f>C3-B3+1</f>
      </c>
      <c r="E3" s="3">
        <f>CONCATENATE(D3,"'h",J3)</f>
      </c>
      <c r="F3" s="3" t="s">
        <v>16</v>
      </c>
      <c r="G3" s="3" t="s">
        <v>17</v>
      </c>
      <c r="H3" s="3" t="s">
        <v>18</v>
      </c>
      <c r="I3" s="3">
        <v>1</v>
      </c>
      <c r="J3" s="3">
        <f>LOWER(DEC2HEX((I3)))</f>
      </c>
      <c r="K3" s="3">
        <f>I3*(2^B3)</f>
      </c>
      <c r="L3" s="3" t="s">
        <v>13</v>
      </c>
    </row>
    <row r="4" spans="1:12" x14ac:dyDescent="0.25">
      <c r="A4" s="3" t="s">
        <v>13</v>
      </c>
      <c r="B4" s="3">
        <v>0</v>
      </c>
      <c r="C4" s="3">
        <v>15</v>
      </c>
      <c r="D4" s="3">
        <f>C4-B4+1</f>
      </c>
      <c r="E4" s="3">
        <f>CONCATENATE(D4,"'h",J4)</f>
      </c>
      <c r="F4" s="3" t="s">
        <v>16</v>
      </c>
      <c r="G4" s="3" t="s">
        <v>19</v>
      </c>
      <c r="H4" s="3" t="s">
        <v>20</v>
      </c>
      <c r="I4" s="3">
        <v>42352</v>
      </c>
      <c r="J4" s="3">
        <f>LOWER(DEC2HEX((I4)))</f>
      </c>
      <c r="K4" s="3">
        <f>I4*(2^B4)</f>
      </c>
      <c r="L4" s="3" t="s">
        <v>13</v>
      </c>
    </row>
    <row r="5" spans="1:12" x14ac:dyDescent="0.25">
      <c r="A5" s="2" t="s">
        <v>21</v>
      </c>
      <c r="B5" s="2" t="s">
        <v>13</v>
      </c>
      <c r="C5" s="2" t="s">
        <v>13</v>
      </c>
      <c r="D5" s="2">
        <f>SUM(D6:D9)</f>
      </c>
      <c r="E5" s="2">
        <f>CONCATENATE("32'h",J5)</f>
      </c>
      <c r="F5" s="2" t="s">
        <v>13</v>
      </c>
      <c r="G5" s="2" t="s">
        <v>22</v>
      </c>
      <c r="H5" s="2" t="s">
        <v>23</v>
      </c>
      <c r="I5" s="2" t="s">
        <v>13</v>
      </c>
      <c r="J5" s="2">
        <f>LOWER(DEC2HEX(K5, 8))</f>
      </c>
      <c r="K5" s="2">
        <f>SUM(K6:K9)</f>
      </c>
      <c r="L5" s="2" t="s">
        <v>13</v>
      </c>
    </row>
    <row r="6" spans="1:12" x14ac:dyDescent="0.25">
      <c r="A6" s="4" t="s">
        <v>13</v>
      </c>
      <c r="B6" s="4">
        <v>16</v>
      </c>
      <c r="C6" s="4">
        <v>31</v>
      </c>
      <c r="D6" s="4">
        <f>C6-B6+1</f>
      </c>
      <c r="E6" s="4">
        <f>CONCATENATE(D6,"'h",J6)</f>
      </c>
      <c r="F6" s="4" t="s">
        <v>24</v>
      </c>
      <c r="G6" s="4" t="s">
        <v>25</v>
      </c>
      <c r="H6" s="4" t="s">
        <v>26</v>
      </c>
      <c r="I6" s="4">
        <v>0</v>
      </c>
      <c r="J6" s="4">
        <f>LOWER(DEC2HEX((I6)))</f>
      </c>
      <c r="K6" s="4">
        <f>I6*(2^B6)</f>
      </c>
      <c r="L6" s="4" t="s">
        <v>13</v>
      </c>
    </row>
    <row r="7" spans="1:12" x14ac:dyDescent="0.25">
      <c r="A7" s="3" t="s">
        <v>13</v>
      </c>
      <c r="B7" s="3">
        <v>8</v>
      </c>
      <c r="C7" s="3">
        <v>15</v>
      </c>
      <c r="D7" s="3">
        <f>C7-B7+1</f>
      </c>
      <c r="E7" s="3">
        <f>CONCATENATE(D7,"'h",J7)</f>
      </c>
      <c r="F7" s="3" t="s">
        <v>24</v>
      </c>
      <c r="G7" s="3" t="s">
        <v>27</v>
      </c>
      <c r="H7" s="3" t="s">
        <v>28</v>
      </c>
      <c r="I7" s="3">
        <v>0</v>
      </c>
      <c r="J7" s="3">
        <f>LOWER(DEC2HEX((I7)))</f>
      </c>
      <c r="K7" s="3">
        <f>I7*(2^B7)</f>
      </c>
      <c r="L7" s="3" t="s">
        <v>13</v>
      </c>
    </row>
    <row r="8" spans="1:12" x14ac:dyDescent="0.25">
      <c r="A8" s="4" t="s">
        <v>13</v>
      </c>
      <c r="B8" s="4">
        <v>1</v>
      </c>
      <c r="C8" s="4">
        <v>7</v>
      </c>
      <c r="D8" s="4">
        <f>C8-B8+1</f>
      </c>
      <c r="E8" s="4">
        <f>CONCATENATE(D8,"'h",J8)</f>
      </c>
      <c r="F8" s="4" t="s">
        <v>24</v>
      </c>
      <c r="G8" s="4" t="s">
        <v>25</v>
      </c>
      <c r="H8" s="4" t="s">
        <v>26</v>
      </c>
      <c r="I8" s="4">
        <v>0</v>
      </c>
      <c r="J8" s="4">
        <f>LOWER(DEC2HEX((I8)))</f>
      </c>
      <c r="K8" s="4">
        <f>I8*(2^B8)</f>
      </c>
      <c r="L8" s="4" t="s">
        <v>13</v>
      </c>
    </row>
    <row r="9" spans="1:12" x14ac:dyDescent="0.25">
      <c r="A9" s="3" t="s">
        <v>13</v>
      </c>
      <c r="B9" s="3">
        <v>0</v>
      </c>
      <c r="C9" s="3">
        <v>0</v>
      </c>
      <c r="D9" s="3">
        <f>C9-B9+1</f>
      </c>
      <c r="E9" s="3">
        <f>CONCATENATE(D9,"'h",J9)</f>
      </c>
      <c r="F9" s="3" t="s">
        <v>24</v>
      </c>
      <c r="G9" s="3" t="s">
        <v>29</v>
      </c>
      <c r="H9" s="3" t="s">
        <v>30</v>
      </c>
      <c r="I9" s="3">
        <v>0</v>
      </c>
      <c r="J9" s="3">
        <f>LOWER(DEC2HEX((I9)))</f>
      </c>
      <c r="K9" s="3">
        <f>I9*(2^B9)</f>
      </c>
      <c r="L9" s="3" t="s">
        <v>13</v>
      </c>
    </row>
    <row r="10" spans="1:12" x14ac:dyDescent="0.25">
      <c r="A10" s="2" t="s">
        <v>31</v>
      </c>
      <c r="B10" s="2" t="s">
        <v>13</v>
      </c>
      <c r="C10" s="2" t="s">
        <v>13</v>
      </c>
      <c r="D10" s="2">
        <f>SUM(D11:D13)</f>
      </c>
      <c r="E10" s="2">
        <f>CONCATENATE("32'h",J10)</f>
      </c>
      <c r="F10" s="2" t="s">
        <v>13</v>
      </c>
      <c r="G10" s="2" t="s">
        <v>32</v>
      </c>
      <c r="H10" s="2" t="s">
        <v>33</v>
      </c>
      <c r="I10" s="2" t="s">
        <v>13</v>
      </c>
      <c r="J10" s="2">
        <f>LOWER(DEC2HEX(K10, 8))</f>
      </c>
      <c r="K10" s="2">
        <f>SUM(K11:K13)</f>
      </c>
      <c r="L10" s="2" t="s">
        <v>34</v>
      </c>
    </row>
    <row r="11" spans="1:12" x14ac:dyDescent="0.25">
      <c r="A11" s="4" t="s">
        <v>13</v>
      </c>
      <c r="B11" s="4">
        <v>16</v>
      </c>
      <c r="C11" s="4">
        <v>31</v>
      </c>
      <c r="D11" s="4">
        <f>C11-B11+1</f>
      </c>
      <c r="E11" s="4">
        <f>CONCATENATE(D11,"'h",J11)</f>
      </c>
      <c r="F11" s="4" t="s">
        <v>24</v>
      </c>
      <c r="G11" s="4" t="s">
        <v>25</v>
      </c>
      <c r="H11" s="4" t="s">
        <v>26</v>
      </c>
      <c r="I11" s="4">
        <v>0</v>
      </c>
      <c r="J11" s="4">
        <f>LOWER(DEC2HEX((I11)))</f>
      </c>
      <c r="K11" s="4">
        <f>I11*(2^B11)</f>
      </c>
      <c r="L11" s="4" t="s">
        <v>13</v>
      </c>
    </row>
    <row r="12" spans="1:12" x14ac:dyDescent="0.25">
      <c r="A12" s="3" t="s">
        <v>13</v>
      </c>
      <c r="B12" s="3">
        <v>8</v>
      </c>
      <c r="C12" s="3">
        <v>15</v>
      </c>
      <c r="D12" s="3">
        <f>C12-B12+1</f>
      </c>
      <c r="E12" s="3">
        <f>CONCATENATE(D12,"'h",J12)</f>
      </c>
      <c r="F12" s="3" t="s">
        <v>35</v>
      </c>
      <c r="G12" s="3" t="s">
        <v>36</v>
      </c>
      <c r="H12" s="3" t="s">
        <v>37</v>
      </c>
      <c r="I12" s="3">
        <v>12</v>
      </c>
      <c r="J12" s="3">
        <f>LOWER(DEC2HEX((I12)))</f>
      </c>
      <c r="K12" s="3">
        <f>I12*(2^B12)</f>
      </c>
      <c r="L12" s="3" t="s">
        <v>13</v>
      </c>
    </row>
    <row r="13" spans="1:12" x14ac:dyDescent="0.25">
      <c r="A13" s="3" t="s">
        <v>13</v>
      </c>
      <c r="B13" s="3">
        <v>0</v>
      </c>
      <c r="C13" s="3">
        <v>7</v>
      </c>
      <c r="D13" s="3">
        <f>C13-B13+1</f>
      </c>
      <c r="E13" s="3">
        <f>CONCATENATE(D13,"'h",J13)</f>
      </c>
      <c r="F13" s="3" t="s">
        <v>35</v>
      </c>
      <c r="G13" s="3" t="s">
        <v>38</v>
      </c>
      <c r="H13" s="3" t="s">
        <v>39</v>
      </c>
      <c r="I13" s="3">
        <v>12</v>
      </c>
      <c r="J13" s="3">
        <f>LOWER(DEC2HEX((I13)))</f>
      </c>
      <c r="K13" s="3">
        <f>I13*(2^B13)</f>
      </c>
      <c r="L13" s="3" t="s">
        <v>13</v>
      </c>
    </row>
    <row r="14" spans="1:12" x14ac:dyDescent="0.25">
      <c r="A14" s="2" t="s">
        <v>40</v>
      </c>
      <c r="B14" s="2" t="s">
        <v>13</v>
      </c>
      <c r="C14" s="2" t="s">
        <v>13</v>
      </c>
      <c r="D14" s="2">
        <f>SUM(D15:D16)</f>
      </c>
      <c r="E14" s="2">
        <f>CONCATENATE("32'h",J14)</f>
      </c>
      <c r="F14" s="2" t="s">
        <v>13</v>
      </c>
      <c r="G14" s="2" t="s">
        <v>41</v>
      </c>
      <c r="H14" s="2" t="s">
        <v>42</v>
      </c>
      <c r="I14" s="2" t="s">
        <v>13</v>
      </c>
      <c r="J14" s="2">
        <f>LOWER(DEC2HEX(K14, 8))</f>
      </c>
      <c r="K14" s="2">
        <f>SUM(K15:K16)</f>
      </c>
      <c r="L14" s="2" t="s">
        <v>34</v>
      </c>
    </row>
    <row r="15" spans="1:12" x14ac:dyDescent="0.25">
      <c r="A15" s="4" t="s">
        <v>13</v>
      </c>
      <c r="B15" s="4">
        <v>4</v>
      </c>
      <c r="C15" s="4">
        <v>31</v>
      </c>
      <c r="D15" s="4">
        <f>C15-B15+1</f>
      </c>
      <c r="E15" s="4">
        <f>CONCATENATE(D15,"'h",J15)</f>
      </c>
      <c r="F15" s="4" t="s">
        <v>24</v>
      </c>
      <c r="G15" s="4" t="s">
        <v>25</v>
      </c>
      <c r="H15" s="4" t="s">
        <v>26</v>
      </c>
      <c r="I15" s="4">
        <v>0</v>
      </c>
      <c r="J15" s="4">
        <f>LOWER(DEC2HEX((I15)))</f>
      </c>
      <c r="K15" s="4">
        <f>I15*(2^B15)</f>
      </c>
      <c r="L15" s="4" t="s">
        <v>13</v>
      </c>
    </row>
    <row r="16" spans="1:12" x14ac:dyDescent="0.25">
      <c r="A16" s="3" t="s">
        <v>13</v>
      </c>
      <c r="B16" s="3">
        <v>0</v>
      </c>
      <c r="C16" s="3">
        <v>3</v>
      </c>
      <c r="D16" s="3">
        <f>C16-B16+1</f>
      </c>
      <c r="E16" s="3">
        <f>CONCATENATE(D16,"'h",J16)</f>
      </c>
      <c r="F16" s="3" t="s">
        <v>35</v>
      </c>
      <c r="G16" s="3" t="s">
        <v>43</v>
      </c>
      <c r="H16" s="3" t="s">
        <v>44</v>
      </c>
      <c r="I16" s="3">
        <v>4</v>
      </c>
      <c r="J16" s="3">
        <f>LOWER(DEC2HEX((I16)))</f>
      </c>
      <c r="K16" s="3">
        <f>I16*(2^B16)</f>
      </c>
      <c r="L16" s="3" t="s">
        <v>13</v>
      </c>
    </row>
  </sheetData>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FormatPr defaultRowHeight="15" outlineLevelRow="0" outlineLevelCol="0" x14ac:dyDescent="55"/>
  <cols>
    <col min="5" max="5" width="16" customWidth="1"/>
    <col min="7" max="7" width="30" customWidth="1"/>
    <col min="8" max="8" width="40" customWidth="1"/>
    <col min="10" max="12" width="16" customWidth="1"/>
  </cols>
  <sheetData>
    <row r="1" ht="30"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t="s">
        <v>13</v>
      </c>
      <c r="C2" s="2" t="s">
        <v>13</v>
      </c>
      <c r="D2" s="2">
        <f>SUM(D3:D4)</f>
      </c>
      <c r="E2" s="2">
        <f>CONCATENATE("32'h",J2)</f>
      </c>
      <c r="F2" s="2" t="s">
        <v>13</v>
      </c>
      <c r="G2" s="2" t="s">
        <v>14</v>
      </c>
      <c r="H2" s="2" t="s">
        <v>15</v>
      </c>
      <c r="I2" s="2" t="s">
        <v>13</v>
      </c>
      <c r="J2" s="2">
        <f>LOWER(DEC2HEX(K2, 8))</f>
      </c>
      <c r="K2" s="2">
        <f>SUM(K3:K4)</f>
      </c>
      <c r="L2" s="2" t="s">
        <v>13</v>
      </c>
    </row>
    <row r="3" spans="1:12" x14ac:dyDescent="0.25">
      <c r="A3" s="3" t="s">
        <v>13</v>
      </c>
      <c r="B3" s="3">
        <v>16</v>
      </c>
      <c r="C3" s="3">
        <v>31</v>
      </c>
      <c r="D3" s="3">
        <f>C3-B3+1</f>
      </c>
      <c r="E3" s="3">
        <f>CONCATENATE(D3,"'h",J3)</f>
      </c>
      <c r="F3" s="3" t="s">
        <v>16</v>
      </c>
      <c r="G3" s="3" t="s">
        <v>17</v>
      </c>
      <c r="H3" s="3" t="s">
        <v>18</v>
      </c>
      <c r="I3" s="3">
        <v>1</v>
      </c>
      <c r="J3" s="3">
        <f>LOWER(DEC2HEX((I3)))</f>
      </c>
      <c r="K3" s="3">
        <f>I3*(2^B3)</f>
      </c>
      <c r="L3" s="3" t="s">
        <v>13</v>
      </c>
    </row>
    <row r="4" spans="1:12" x14ac:dyDescent="0.25">
      <c r="A4" s="3" t="s">
        <v>13</v>
      </c>
      <c r="B4" s="3">
        <v>0</v>
      </c>
      <c r="C4" s="3">
        <v>15</v>
      </c>
      <c r="D4" s="3">
        <f>C4-B4+1</f>
      </c>
      <c r="E4" s="3">
        <f>CONCATENATE(D4,"'h",J4)</f>
      </c>
      <c r="F4" s="3" t="s">
        <v>16</v>
      </c>
      <c r="G4" s="3" t="s">
        <v>19</v>
      </c>
      <c r="H4" s="3" t="s">
        <v>20</v>
      </c>
      <c r="I4" s="3">
        <v>53264</v>
      </c>
      <c r="J4" s="3">
        <f>LOWER(DEC2HEX((I4)))</f>
      </c>
      <c r="K4" s="3">
        <f>I4*(2^B4)</f>
      </c>
      <c r="L4" s="3" t="s">
        <v>13</v>
      </c>
    </row>
    <row r="5" spans="1:12" x14ac:dyDescent="0.25">
      <c r="A5" s="2" t="s">
        <v>21</v>
      </c>
      <c r="B5" s="2" t="s">
        <v>13</v>
      </c>
      <c r="C5" s="2" t="s">
        <v>13</v>
      </c>
      <c r="D5" s="2">
        <f>SUM(D6:D9)</f>
      </c>
      <c r="E5" s="2">
        <f>CONCATENATE("32'h",J5)</f>
      </c>
      <c r="F5" s="2" t="s">
        <v>13</v>
      </c>
      <c r="G5" s="2" t="s">
        <v>22</v>
      </c>
      <c r="H5" s="2" t="s">
        <v>23</v>
      </c>
      <c r="I5" s="2" t="s">
        <v>13</v>
      </c>
      <c r="J5" s="2">
        <f>LOWER(DEC2HEX(K5, 8))</f>
      </c>
      <c r="K5" s="2">
        <f>SUM(K6:K9)</f>
      </c>
      <c r="L5" s="2" t="s">
        <v>13</v>
      </c>
    </row>
    <row r="6" spans="1:12" x14ac:dyDescent="0.25">
      <c r="A6" s="4" t="s">
        <v>13</v>
      </c>
      <c r="B6" s="4">
        <v>16</v>
      </c>
      <c r="C6" s="4">
        <v>31</v>
      </c>
      <c r="D6" s="4">
        <f>C6-B6+1</f>
      </c>
      <c r="E6" s="4">
        <f>CONCATENATE(D6,"'h",J6)</f>
      </c>
      <c r="F6" s="4" t="s">
        <v>24</v>
      </c>
      <c r="G6" s="4" t="s">
        <v>25</v>
      </c>
      <c r="H6" s="4" t="s">
        <v>26</v>
      </c>
      <c r="I6" s="4">
        <v>0</v>
      </c>
      <c r="J6" s="4">
        <f>LOWER(DEC2HEX((I6)))</f>
      </c>
      <c r="K6" s="4">
        <f>I6*(2^B6)</f>
      </c>
      <c r="L6" s="4" t="s">
        <v>13</v>
      </c>
    </row>
    <row r="7" spans="1:12" x14ac:dyDescent="0.25">
      <c r="A7" s="3" t="s">
        <v>13</v>
      </c>
      <c r="B7" s="3">
        <v>8</v>
      </c>
      <c r="C7" s="3">
        <v>15</v>
      </c>
      <c r="D7" s="3">
        <f>C7-B7+1</f>
      </c>
      <c r="E7" s="3">
        <f>CONCATENATE(D7,"'h",J7)</f>
      </c>
      <c r="F7" s="3" t="s">
        <v>24</v>
      </c>
      <c r="G7" s="3" t="s">
        <v>45</v>
      </c>
      <c r="H7" s="3" t="s">
        <v>46</v>
      </c>
      <c r="I7" s="3">
        <v>0</v>
      </c>
      <c r="J7" s="3">
        <f>LOWER(DEC2HEX((I7)))</f>
      </c>
      <c r="K7" s="3">
        <f>I7*(2^B7)</f>
      </c>
      <c r="L7" s="3" t="s">
        <v>13</v>
      </c>
    </row>
    <row r="8" spans="1:12" x14ac:dyDescent="0.25">
      <c r="A8" s="4" t="s">
        <v>13</v>
      </c>
      <c r="B8" s="4">
        <v>1</v>
      </c>
      <c r="C8" s="4">
        <v>7</v>
      </c>
      <c r="D8" s="4">
        <f>C8-B8+1</f>
      </c>
      <c r="E8" s="4">
        <f>CONCATENATE(D8,"'h",J8)</f>
      </c>
      <c r="F8" s="4" t="s">
        <v>24</v>
      </c>
      <c r="G8" s="4" t="s">
        <v>25</v>
      </c>
      <c r="H8" s="4" t="s">
        <v>26</v>
      </c>
      <c r="I8" s="4">
        <v>0</v>
      </c>
      <c r="J8" s="4">
        <f>LOWER(DEC2HEX((I8)))</f>
      </c>
      <c r="K8" s="4">
        <f>I8*(2^B8)</f>
      </c>
      <c r="L8" s="4" t="s">
        <v>13</v>
      </c>
    </row>
    <row r="9" spans="1:12" x14ac:dyDescent="0.25">
      <c r="A9" s="3" t="s">
        <v>13</v>
      </c>
      <c r="B9" s="3">
        <v>0</v>
      </c>
      <c r="C9" s="3">
        <v>0</v>
      </c>
      <c r="D9" s="3">
        <f>C9-B9+1</f>
      </c>
      <c r="E9" s="3">
        <f>CONCATENATE(D9,"'h",J9)</f>
      </c>
      <c r="F9" s="3" t="s">
        <v>24</v>
      </c>
      <c r="G9" s="3" t="s">
        <v>47</v>
      </c>
      <c r="H9" s="3" t="s">
        <v>48</v>
      </c>
      <c r="I9" s="3">
        <v>0</v>
      </c>
      <c r="J9" s="3">
        <f>LOWER(DEC2HEX((I9)))</f>
      </c>
      <c r="K9" s="3">
        <f>I9*(2^B9)</f>
      </c>
      <c r="L9" s="3" t="s">
        <v>13</v>
      </c>
    </row>
    <row r="10" spans="1:12" x14ac:dyDescent="0.25">
      <c r="A10" s="2" t="s">
        <v>49</v>
      </c>
      <c r="B10" s="2" t="s">
        <v>13</v>
      </c>
      <c r="C10" s="2" t="s">
        <v>13</v>
      </c>
      <c r="D10" s="2">
        <f>SUM(D11:D12)</f>
      </c>
      <c r="E10" s="2">
        <f>CONCATENATE("32'h",J10)</f>
      </c>
      <c r="F10" s="2" t="s">
        <v>13</v>
      </c>
      <c r="G10" s="2" t="s">
        <v>50</v>
      </c>
      <c r="H10" s="2" t="s">
        <v>51</v>
      </c>
      <c r="I10" s="2" t="s">
        <v>13</v>
      </c>
      <c r="J10" s="2">
        <f>LOWER(DEC2HEX(K10, 8))</f>
      </c>
      <c r="K10" s="2">
        <f>SUM(K11:K12)</f>
      </c>
      <c r="L10" s="2" t="s">
        <v>13</v>
      </c>
    </row>
    <row r="11" spans="1:12" x14ac:dyDescent="0.25">
      <c r="A11" s="4" t="s">
        <v>13</v>
      </c>
      <c r="B11" s="4">
        <v>1</v>
      </c>
      <c r="C11" s="4">
        <v>31</v>
      </c>
      <c r="D11" s="4">
        <f>C11-B11+1</f>
      </c>
      <c r="E11" s="4">
        <f>CONCATENATE(D11,"'h",J11)</f>
      </c>
      <c r="F11" s="4" t="s">
        <v>24</v>
      </c>
      <c r="G11" s="4" t="s">
        <v>25</v>
      </c>
      <c r="H11" s="4" t="s">
        <v>26</v>
      </c>
      <c r="I11" s="4">
        <v>0</v>
      </c>
      <c r="J11" s="4">
        <f>LOWER(DEC2HEX((I11)))</f>
      </c>
      <c r="K11" s="4">
        <f>I11*(2^B11)</f>
      </c>
      <c r="L11" s="4" t="s">
        <v>13</v>
      </c>
    </row>
    <row r="12" spans="1:12" x14ac:dyDescent="0.25">
      <c r="A12" s="3" t="s">
        <v>13</v>
      </c>
      <c r="B12" s="3">
        <v>0</v>
      </c>
      <c r="C12" s="3">
        <v>0</v>
      </c>
      <c r="D12" s="3">
        <f>C12-B12+1</f>
      </c>
      <c r="E12" s="3">
        <f>CONCATENATE(D12,"'h",J12)</f>
      </c>
      <c r="F12" s="3" t="s">
        <v>24</v>
      </c>
      <c r="G12" s="3" t="s">
        <v>52</v>
      </c>
      <c r="H12" s="3" t="s">
        <v>53</v>
      </c>
      <c r="I12" s="3">
        <v>0</v>
      </c>
      <c r="J12" s="3">
        <f>LOWER(DEC2HEX((I12)))</f>
      </c>
      <c r="K12" s="3">
        <f>I12*(2^B12)</f>
      </c>
      <c r="L12" s="3" t="s">
        <v>13</v>
      </c>
    </row>
    <row r="13" spans="1:12" x14ac:dyDescent="0.25">
      <c r="A13" s="2" t="s">
        <v>31</v>
      </c>
      <c r="B13" s="2" t="s">
        <v>13</v>
      </c>
      <c r="C13" s="2" t="s">
        <v>13</v>
      </c>
      <c r="D13" s="2">
        <f>SUM(D14:D15)</f>
      </c>
      <c r="E13" s="2">
        <f>CONCATENATE("32'h",J13)</f>
      </c>
      <c r="F13" s="2" t="s">
        <v>13</v>
      </c>
      <c r="G13" s="2" t="s">
        <v>54</v>
      </c>
      <c r="H13" s="2" t="s">
        <v>55</v>
      </c>
      <c r="I13" s="2" t="s">
        <v>13</v>
      </c>
      <c r="J13" s="2">
        <f>LOWER(DEC2HEX(K13, 8))</f>
      </c>
      <c r="K13" s="2">
        <f>SUM(K14:K15)</f>
      </c>
      <c r="L13" s="2" t="s">
        <v>34</v>
      </c>
    </row>
    <row r="14" spans="1:12" x14ac:dyDescent="0.25">
      <c r="A14" s="4" t="s">
        <v>13</v>
      </c>
      <c r="B14" s="4">
        <v>7</v>
      </c>
      <c r="C14" s="4">
        <v>31</v>
      </c>
      <c r="D14" s="4">
        <f>C14-B14+1</f>
      </c>
      <c r="E14" s="4">
        <f>CONCATENATE(D14,"'h",J14)</f>
      </c>
      <c r="F14" s="4" t="s">
        <v>24</v>
      </c>
      <c r="G14" s="4" t="s">
        <v>25</v>
      </c>
      <c r="H14" s="4" t="s">
        <v>26</v>
      </c>
      <c r="I14" s="4">
        <v>0</v>
      </c>
      <c r="J14" s="4">
        <f>LOWER(DEC2HEX((I14)))</f>
      </c>
      <c r="K14" s="4">
        <f>I14*(2^B14)</f>
      </c>
      <c r="L14" s="4" t="s">
        <v>13</v>
      </c>
    </row>
    <row r="15" spans="1:12" x14ac:dyDescent="0.25">
      <c r="A15" s="3" t="s">
        <v>13</v>
      </c>
      <c r="B15" s="3">
        <v>0</v>
      </c>
      <c r="C15" s="3">
        <v>6</v>
      </c>
      <c r="D15" s="3">
        <f>C15-B15+1</f>
      </c>
      <c r="E15" s="3">
        <f>CONCATENATE(D15,"'h",J15)</f>
      </c>
      <c r="F15" s="3" t="s">
        <v>35</v>
      </c>
      <c r="G15" s="3" t="s">
        <v>56</v>
      </c>
      <c r="H15" s="3" t="s">
        <v>57</v>
      </c>
      <c r="I15" s="3">
        <v>48</v>
      </c>
      <c r="J15" s="3">
        <f>LOWER(DEC2HEX((I15)))</f>
      </c>
      <c r="K15" s="3">
        <f>I15*(2^B15)</f>
      </c>
      <c r="L15" s="3" t="s">
        <v>13</v>
      </c>
    </row>
    <row r="16" spans="1:12" x14ac:dyDescent="0.25">
      <c r="A16" s="2" t="s">
        <v>40</v>
      </c>
      <c r="B16" s="2" t="s">
        <v>13</v>
      </c>
      <c r="C16" s="2" t="s">
        <v>13</v>
      </c>
      <c r="D16" s="2">
        <f>SUM(D17:D20)</f>
      </c>
      <c r="E16" s="2">
        <f>CONCATENATE("32'h",J16)</f>
      </c>
      <c r="F16" s="2" t="s">
        <v>13</v>
      </c>
      <c r="G16" s="2" t="s">
        <v>58</v>
      </c>
      <c r="H16" s="2" t="s">
        <v>59</v>
      </c>
      <c r="I16" s="2" t="s">
        <v>13</v>
      </c>
      <c r="J16" s="2">
        <f>LOWER(DEC2HEX(K16, 8))</f>
      </c>
      <c r="K16" s="2">
        <f>SUM(K17:K20)</f>
      </c>
      <c r="L16" s="2" t="s">
        <v>34</v>
      </c>
    </row>
    <row r="17" spans="1:12" x14ac:dyDescent="0.25">
      <c r="A17" s="4" t="s">
        <v>13</v>
      </c>
      <c r="B17" s="4">
        <v>13</v>
      </c>
      <c r="C17" s="4">
        <v>31</v>
      </c>
      <c r="D17" s="4">
        <f>C17-B17+1</f>
      </c>
      <c r="E17" s="4">
        <f>CONCATENATE(D17,"'h",J17)</f>
      </c>
      <c r="F17" s="4" t="s">
        <v>24</v>
      </c>
      <c r="G17" s="4" t="s">
        <v>25</v>
      </c>
      <c r="H17" s="4" t="s">
        <v>26</v>
      </c>
      <c r="I17" s="4">
        <v>0</v>
      </c>
      <c r="J17" s="4">
        <f>LOWER(DEC2HEX((I17)))</f>
      </c>
      <c r="K17" s="4">
        <f>I17*(2^B17)</f>
      </c>
      <c r="L17" s="4" t="s">
        <v>13</v>
      </c>
    </row>
    <row r="18" spans="1:12" x14ac:dyDescent="0.25">
      <c r="A18" s="3" t="s">
        <v>13</v>
      </c>
      <c r="B18" s="3">
        <v>8</v>
      </c>
      <c r="C18" s="3">
        <v>12</v>
      </c>
      <c r="D18" s="3">
        <f>C18-B18+1</f>
      </c>
      <c r="E18" s="3">
        <f>CONCATENATE(D18,"'h",J18)</f>
      </c>
      <c r="F18" s="3" t="s">
        <v>35</v>
      </c>
      <c r="G18" s="3" t="s">
        <v>60</v>
      </c>
      <c r="H18" s="3" t="s">
        <v>61</v>
      </c>
      <c r="I18" s="3">
        <v>1</v>
      </c>
      <c r="J18" s="3">
        <f>LOWER(DEC2HEX((I18)))</f>
      </c>
      <c r="K18" s="3">
        <f>I18*(2^B18)</f>
      </c>
      <c r="L18" s="3" t="s">
        <v>13</v>
      </c>
    </row>
    <row r="19" spans="1:12" x14ac:dyDescent="0.25">
      <c r="A19" s="4" t="s">
        <v>13</v>
      </c>
      <c r="B19" s="4">
        <v>5</v>
      </c>
      <c r="C19" s="4">
        <v>7</v>
      </c>
      <c r="D19" s="4">
        <f>C19-B19+1</f>
      </c>
      <c r="E19" s="4">
        <f>CONCATENATE(D19,"'h",J19)</f>
      </c>
      <c r="F19" s="4" t="s">
        <v>24</v>
      </c>
      <c r="G19" s="4" t="s">
        <v>25</v>
      </c>
      <c r="H19" s="4" t="s">
        <v>26</v>
      </c>
      <c r="I19" s="4">
        <v>0</v>
      </c>
      <c r="J19" s="4">
        <f>LOWER(DEC2HEX((I19)))</f>
      </c>
      <c r="K19" s="4">
        <f>I19*(2^B19)</f>
      </c>
      <c r="L19" s="4" t="s">
        <v>13</v>
      </c>
    </row>
    <row r="20" spans="1:12" x14ac:dyDescent="0.25">
      <c r="A20" s="3" t="s">
        <v>13</v>
      </c>
      <c r="B20" s="3">
        <v>0</v>
      </c>
      <c r="C20" s="3">
        <v>4</v>
      </c>
      <c r="D20" s="3">
        <f>C20-B20+1</f>
      </c>
      <c r="E20" s="3">
        <f>CONCATENATE(D20,"'h",J20)</f>
      </c>
      <c r="F20" s="3" t="s">
        <v>35</v>
      </c>
      <c r="G20" s="3" t="s">
        <v>62</v>
      </c>
      <c r="H20" s="3" t="s">
        <v>63</v>
      </c>
      <c r="I20" s="3">
        <v>2</v>
      </c>
      <c r="J20" s="3">
        <f>LOWER(DEC2HEX((I20)))</f>
      </c>
      <c r="K20" s="3">
        <f>I20*(2^B20)</f>
      </c>
      <c r="L20" s="3" t="s">
        <v>13</v>
      </c>
    </row>
  </sheetData>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2" max="2" width="16" customWidth="1"/>
    <col min="4" max="4" width="16" customWidth="1"/>
    <col min="5" max="5" width="48" customWidth="1"/>
    <col min="8" max="8" width="40" customWidth="1"/>
  </cols>
  <sheetData>
    <row r="1" ht="20" customHeight="1" spans="1:8" x14ac:dyDescent="0.25">
      <c r="A1" s="1" t="s">
        <v>64</v>
      </c>
      <c r="B1" s="1" t="s">
        <v>65</v>
      </c>
      <c r="C1" s="1" t="s">
        <v>66</v>
      </c>
      <c r="D1" s="1" t="s">
        <v>67</v>
      </c>
      <c r="E1" s="1" t="s">
        <v>68</v>
      </c>
      <c r="F1" s="1" t="s">
        <v>69</v>
      </c>
      <c r="G1" s="1" t="s">
        <v>70</v>
      </c>
      <c r="H1" s="1" t="s">
        <v>71</v>
      </c>
    </row>
    <row r="2" spans="1:8" x14ac:dyDescent="0.25">
      <c r="A2" s="5" t="s">
        <v>72</v>
      </c>
      <c r="B2" s="5" t="s">
        <v>73</v>
      </c>
      <c r="C2" s="5" t="s">
        <v>74</v>
      </c>
      <c r="D2" s="5" t="s">
        <v>75</v>
      </c>
      <c r="E2" s="5" t="s">
        <v>13</v>
      </c>
      <c r="F2" s="5" t="s">
        <v>76</v>
      </c>
      <c r="G2" s="5" t="s">
        <v>13</v>
      </c>
      <c r="H2" s="5" t="s">
        <v>77</v>
      </c>
    </row>
    <row r="3" spans="1:8" x14ac:dyDescent="0.25">
      <c r="A3" s="5" t="s">
        <v>72</v>
      </c>
      <c r="B3" s="5" t="s">
        <v>78</v>
      </c>
      <c r="C3" s="5" t="s">
        <v>79</v>
      </c>
      <c r="D3" s="5" t="s">
        <v>78</v>
      </c>
      <c r="E3" s="5" t="s">
        <v>80</v>
      </c>
      <c r="F3" s="5" t="s">
        <v>13</v>
      </c>
      <c r="G3" s="5" t="s">
        <v>34</v>
      </c>
      <c r="H3" s="5" t="s">
        <v>81</v>
      </c>
    </row>
    <row r="4" spans="1:8" x14ac:dyDescent="0.25">
      <c r="A4" s="5" t="s">
        <v>79</v>
      </c>
      <c r="B4" s="5" t="s">
        <v>82</v>
      </c>
      <c r="C4" s="5" t="s">
        <v>79</v>
      </c>
      <c r="D4" s="5" t="s">
        <v>83</v>
      </c>
      <c r="E4" s="5" t="s">
        <v>84</v>
      </c>
      <c r="F4" s="5" t="s">
        <v>85</v>
      </c>
      <c r="G4" s="5" t="s">
        <v>34</v>
      </c>
      <c r="H4" s="5" t="s">
        <v>86</v>
      </c>
    </row>
    <row r="5" spans="1:8" x14ac:dyDescent="0.25">
      <c r="A5" s="5" t="s">
        <v>87</v>
      </c>
      <c r="B5" s="5" t="s">
        <v>88</v>
      </c>
      <c r="C5" s="5" t="s">
        <v>79</v>
      </c>
      <c r="D5" s="5" t="s">
        <v>83</v>
      </c>
      <c r="E5" s="5" t="s">
        <v>84</v>
      </c>
      <c r="F5" s="5" t="s">
        <v>85</v>
      </c>
      <c r="G5" s="5" t="s">
        <v>34</v>
      </c>
      <c r="H5" s="5" t="s">
        <v>86</v>
      </c>
    </row>
    <row r="6" spans="1:8" x14ac:dyDescent="0.25">
      <c r="A6" s="5" t="s">
        <v>89</v>
      </c>
      <c r="B6" s="5" t="s">
        <v>90</v>
      </c>
      <c r="C6" s="5" t="s">
        <v>79</v>
      </c>
      <c r="D6" s="5" t="s">
        <v>13</v>
      </c>
      <c r="E6" s="5" t="s">
        <v>13</v>
      </c>
      <c r="F6" s="5" t="s">
        <v>91</v>
      </c>
      <c r="G6" s="5" t="s">
        <v>13</v>
      </c>
      <c r="H6" s="5" t="s">
        <v>92</v>
      </c>
    </row>
    <row r="7" spans="1:8" x14ac:dyDescent="0.25">
      <c r="A7" s="5" t="s">
        <v>74</v>
      </c>
      <c r="B7" s="5" t="s">
        <v>93</v>
      </c>
      <c r="C7" s="5" t="s">
        <v>74</v>
      </c>
      <c r="D7" s="5" t="s">
        <v>75</v>
      </c>
      <c r="E7" s="5" t="s">
        <v>13</v>
      </c>
      <c r="F7" s="5" t="s">
        <v>76</v>
      </c>
      <c r="G7" s="5" t="s">
        <v>13</v>
      </c>
      <c r="H7" s="5" t="s">
        <v>94</v>
      </c>
    </row>
    <row r="8" spans="1:8" x14ac:dyDescent="0.25">
      <c r="A8" s="5" t="s">
        <v>95</v>
      </c>
      <c r="B8" s="5" t="s">
        <v>96</v>
      </c>
      <c r="C8" s="5" t="s">
        <v>74</v>
      </c>
      <c r="D8" s="5" t="s">
        <v>75</v>
      </c>
      <c r="E8" s="5" t="s">
        <v>13</v>
      </c>
      <c r="F8" s="5" t="s">
        <v>76</v>
      </c>
      <c r="G8" s="5" t="s">
        <v>13</v>
      </c>
      <c r="H8" s="5" t="s">
        <v>97</v>
      </c>
    </row>
    <row r="9" spans="1:8" x14ac:dyDescent="0.25">
      <c r="A9" s="5" t="s">
        <v>98</v>
      </c>
      <c r="B9" s="5" t="s">
        <v>99</v>
      </c>
      <c r="C9" s="5" t="s">
        <v>74</v>
      </c>
      <c r="D9" s="5" t="s">
        <v>75</v>
      </c>
      <c r="E9" s="5" t="s">
        <v>13</v>
      </c>
      <c r="F9" s="5" t="s">
        <v>76</v>
      </c>
      <c r="G9" s="5" t="s">
        <v>13</v>
      </c>
      <c r="H9" s="5" t="s">
        <v>100</v>
      </c>
    </row>
    <row r="10" spans="1:8" x14ac:dyDescent="0.25">
      <c r="A10" s="5" t="s">
        <v>101</v>
      </c>
      <c r="B10" s="5" t="s">
        <v>102</v>
      </c>
      <c r="C10" s="5" t="s">
        <v>74</v>
      </c>
      <c r="D10" s="5" t="s">
        <v>75</v>
      </c>
      <c r="E10" s="5" t="s">
        <v>13</v>
      </c>
      <c r="F10" s="5" t="s">
        <v>76</v>
      </c>
      <c r="G10" s="5" t="s">
        <v>13</v>
      </c>
      <c r="H10" s="5" t="s">
        <v>103</v>
      </c>
    </row>
    <row r="11" spans="1:8" x14ac:dyDescent="0.25">
      <c r="A11" s="5" t="s">
        <v>104</v>
      </c>
      <c r="B11" s="5" t="s">
        <v>105</v>
      </c>
      <c r="C11" s="5" t="s">
        <v>74</v>
      </c>
      <c r="D11" s="5" t="s">
        <v>75</v>
      </c>
      <c r="E11" s="5" t="s">
        <v>13</v>
      </c>
      <c r="F11" s="5" t="s">
        <v>76</v>
      </c>
      <c r="G11" s="5" t="s">
        <v>13</v>
      </c>
      <c r="H11" s="5" t="s">
        <v>106</v>
      </c>
    </row>
    <row r="12" spans="1:8" x14ac:dyDescent="0.25">
      <c r="A12" s="5" t="s">
        <v>107</v>
      </c>
      <c r="B12" s="5" t="s">
        <v>108</v>
      </c>
      <c r="C12" s="5" t="s">
        <v>74</v>
      </c>
      <c r="D12" s="5" t="s">
        <v>75</v>
      </c>
      <c r="E12" s="5" t="s">
        <v>13</v>
      </c>
      <c r="F12" s="5" t="s">
        <v>76</v>
      </c>
      <c r="G12" s="5" t="s">
        <v>13</v>
      </c>
      <c r="H12" s="5" t="s">
        <v>109</v>
      </c>
    </row>
    <row r="13" spans="1:8" x14ac:dyDescent="0.25">
      <c r="A13" s="5" t="s">
        <v>110</v>
      </c>
      <c r="B13" s="5" t="s">
        <v>111</v>
      </c>
      <c r="C13" s="5" t="s">
        <v>74</v>
      </c>
      <c r="D13" s="5" t="s">
        <v>75</v>
      </c>
      <c r="E13" s="5" t="s">
        <v>13</v>
      </c>
      <c r="F13" s="5" t="s">
        <v>76</v>
      </c>
      <c r="G13" s="5" t="s">
        <v>13</v>
      </c>
      <c r="H13" s="5" t="s">
        <v>112</v>
      </c>
    </row>
    <row r="14" spans="1:8" x14ac:dyDescent="0.25">
      <c r="A14" s="5" t="s">
        <v>113</v>
      </c>
      <c r="B14" s="5" t="s">
        <v>114</v>
      </c>
      <c r="C14" s="5" t="s">
        <v>74</v>
      </c>
      <c r="D14" s="5" t="s">
        <v>75</v>
      </c>
      <c r="E14" s="5" t="s">
        <v>13</v>
      </c>
      <c r="F14" s="5" t="s">
        <v>76</v>
      </c>
      <c r="G14" s="5" t="s">
        <v>13</v>
      </c>
      <c r="H14" s="5" t="s">
        <v>115</v>
      </c>
    </row>
    <row r="15" spans="1:8" x14ac:dyDescent="0.25">
      <c r="A15" s="5" t="s">
        <v>116</v>
      </c>
      <c r="B15" s="5" t="s">
        <v>117</v>
      </c>
      <c r="C15" s="5" t="s">
        <v>74</v>
      </c>
      <c r="D15" s="5" t="s">
        <v>75</v>
      </c>
      <c r="E15" s="5" t="s">
        <v>13</v>
      </c>
      <c r="F15" s="5" t="s">
        <v>76</v>
      </c>
      <c r="G15" s="5" t="s">
        <v>13</v>
      </c>
      <c r="H15" s="5" t="s">
        <v>118</v>
      </c>
    </row>
    <row r="16" spans="1:8" x14ac:dyDescent="0.25">
      <c r="A16" s="5" t="s">
        <v>119</v>
      </c>
      <c r="B16" s="5" t="s">
        <v>120</v>
      </c>
      <c r="C16" s="5" t="s">
        <v>74</v>
      </c>
      <c r="D16" s="5" t="s">
        <v>75</v>
      </c>
      <c r="E16" s="5" t="s">
        <v>13</v>
      </c>
      <c r="F16" s="5" t="s">
        <v>76</v>
      </c>
      <c r="G16" s="5" t="s">
        <v>13</v>
      </c>
      <c r="H16" s="5" t="s">
        <v>121</v>
      </c>
    </row>
    <row r="17" spans="1:8" x14ac:dyDescent="0.25">
      <c r="A17" s="5" t="s">
        <v>122</v>
      </c>
      <c r="B17" s="5" t="s">
        <v>123</v>
      </c>
      <c r="C17" s="5" t="s">
        <v>74</v>
      </c>
      <c r="D17" s="5" t="s">
        <v>75</v>
      </c>
      <c r="E17" s="5" t="s">
        <v>13</v>
      </c>
      <c r="F17" s="5" t="s">
        <v>76</v>
      </c>
      <c r="G17" s="5" t="s">
        <v>13</v>
      </c>
      <c r="H17" s="5" t="s">
        <v>124</v>
      </c>
    </row>
    <row r="18" spans="1:8" x14ac:dyDescent="0.25">
      <c r="A18" s="5" t="s">
        <v>125</v>
      </c>
      <c r="B18" s="5" t="s">
        <v>126</v>
      </c>
      <c r="C18" s="5" t="s">
        <v>74</v>
      </c>
      <c r="D18" s="5" t="s">
        <v>75</v>
      </c>
      <c r="E18" s="5" t="s">
        <v>13</v>
      </c>
      <c r="F18" s="5" t="s">
        <v>76</v>
      </c>
      <c r="G18" s="5" t="s">
        <v>13</v>
      </c>
      <c r="H18" s="5" t="s">
        <v>127</v>
      </c>
    </row>
    <row r="19" spans="1:8" x14ac:dyDescent="0.25">
      <c r="A19" s="5" t="s">
        <v>128</v>
      </c>
      <c r="B19" s="5" t="s">
        <v>129</v>
      </c>
      <c r="C19" s="5" t="s">
        <v>74</v>
      </c>
      <c r="D19" s="5" t="s">
        <v>75</v>
      </c>
      <c r="E19" s="5" t="s">
        <v>13</v>
      </c>
      <c r="F19" s="5" t="s">
        <v>76</v>
      </c>
      <c r="G19" s="5" t="s">
        <v>13</v>
      </c>
      <c r="H19" s="5" t="s">
        <v>130</v>
      </c>
    </row>
    <row r="20" spans="1:8" x14ac:dyDescent="0.25">
      <c r="A20" s="5" t="s">
        <v>131</v>
      </c>
      <c r="B20" s="5" t="s">
        <v>132</v>
      </c>
      <c r="C20" s="5" t="s">
        <v>74</v>
      </c>
      <c r="D20" s="5" t="s">
        <v>75</v>
      </c>
      <c r="E20" s="5" t="s">
        <v>13</v>
      </c>
      <c r="F20" s="5" t="s">
        <v>76</v>
      </c>
      <c r="G20" s="5" t="s">
        <v>13</v>
      </c>
      <c r="H20" s="5" t="s">
        <v>133</v>
      </c>
    </row>
    <row r="21" spans="1:8" x14ac:dyDescent="0.25">
      <c r="A21" s="5" t="s">
        <v>134</v>
      </c>
      <c r="B21" s="5" t="s">
        <v>135</v>
      </c>
      <c r="C21" s="5" t="s">
        <v>74</v>
      </c>
      <c r="D21" s="5" t="s">
        <v>75</v>
      </c>
      <c r="E21" s="5" t="s">
        <v>13</v>
      </c>
      <c r="F21" s="5" t="s">
        <v>76</v>
      </c>
      <c r="G21" s="5" t="s">
        <v>13</v>
      </c>
      <c r="H21" s="5" t="s">
        <v>136</v>
      </c>
    </row>
    <row r="22" spans="1:8" x14ac:dyDescent="0.25">
      <c r="A22" s="5" t="s">
        <v>137</v>
      </c>
      <c r="B22" s="5" t="s">
        <v>138</v>
      </c>
      <c r="C22" s="5" t="s">
        <v>74</v>
      </c>
      <c r="D22" s="5" t="s">
        <v>13</v>
      </c>
      <c r="E22" s="5" t="s">
        <v>13</v>
      </c>
      <c r="F22" s="5" t="s">
        <v>139</v>
      </c>
      <c r="G22" s="5" t="s">
        <v>13</v>
      </c>
      <c r="H22" s="5" t="s">
        <v>140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aword</vt:lpstr>
      <vt:lpstr>dword</vt:lpstr>
      <vt:lpstr>hbm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autowire</dc:creator>
  <dc:title/>
  <dc:subject/>
  <dc:description/>
  <cp:keywords/>
  <cp:category/>
  <cp:lastModifiedBy>autowire</cp:lastModifiedBy>
  <dcterms:created xsi:type="dcterms:W3CDTF">1970-01-01T00:00:00Z</dcterms:created>
  <dcterms:modified xsi:type="dcterms:W3CDTF">1970-01-01T00:00:00Z</dcterms:modified>
</cp:coreProperties>
</file>