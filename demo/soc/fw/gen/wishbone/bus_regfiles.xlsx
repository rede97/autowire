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file_sha256" state="visible" r:id="rId4"/>
    <sheet sheetId="2" name="regfile_smoke" state="visible" r:id="rId5"/>
    <sheet sheetId="3" name="bus_map_soc_wb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H1" authorId="0">
      <text>
        <r>
          <t xml:space="preserve">SHA256 CSR (CTRL + HASH0..7); instantiate once per fabric lane
CTRL is the only SW/HW handshake cell. Glue holds the core in reset
while soft_reset stays 1; software must write 0 before the next message.
HASH0..7 are digest words. Each 32-bit word is byte-reversed versus
the on-wire SHA-256 digest.</t>
        </r>
      </text>
    </comment>
  </commentList>
</comments>
</file>

<file path=xl/sharedStrings.xml><?xml version="1.0" encoding="utf-8"?>
<sst xmlns="http://schemas.openxmlformats.org/spreadsheetml/2006/main" count="507" uniqueCount="187">
  <si>
    <t xml:space="preserve">Sub-Addr
(Hex)</t>
  </si>
  <si>
    <t xml:space="preserve">Start
Bit</t>
  </si>
  <si>
    <t xml:space="preserve">End
Bit</t>
  </si>
  <si>
    <t xml:space="preserve">Bit
Width</t>
  </si>
  <si>
    <t xml:space="preserve">Default
Value</t>
  </si>
  <si>
    <t xml:space="preserve">R/W
Property</t>
  </si>
  <si>
    <t xml:space="preserve">Register
Name</t>
  </si>
  <si>
    <t>Register Description</t>
  </si>
  <si>
    <t xml:space="preserve">Reset
Value (Dec)</t>
  </si>
  <si>
    <t xml:space="preserve">Reset
Value (Hex)</t>
  </si>
  <si>
    <t xml:space="preserve">Reset
Value (Sum)</t>
  </si>
  <si>
    <t>SHADOW</t>
  </si>
  <si>
    <t>00000000</t>
  </si>
  <si>
    <t/>
  </si>
  <si>
    <t>CTRL</t>
  </si>
  <si>
    <t>Control / status</t>
  </si>
  <si>
    <t>RO</t>
  </si>
  <si>
    <t>reserved</t>
  </si>
  <si>
    <t>RESERVED</t>
  </si>
  <si>
    <t>done</t>
  </si>
  <si>
    <t>Sticky done (from glue)</t>
  </si>
  <si>
    <t>busy</t>
  </si>
  <si>
    <t>Hash core busy</t>
  </si>
  <si>
    <t>W1P</t>
  </si>
  <si>
    <t>done_clear</t>
  </si>
  <si>
    <t xml:space="preserve">Write 1 → pulse; glue clears sticky done
Pulse only. The stored bit reads back 0.
Glue clears sticky done on this write; it does not touch HASH*.</t>
  </si>
  <si>
    <t>RW</t>
  </si>
  <si>
    <t>soft_reset</t>
  </si>
  <si>
    <t xml:space="preserve">Soft reset hash core
Write 1 to reset the core. Glue holds reset while this bit stays 1.
Software must write 0 before starting the next message.</t>
  </si>
  <si>
    <t>00000004</t>
  </si>
  <si>
    <t>HASH0</t>
  </si>
  <si>
    <t>Digest word 0</t>
  </si>
  <si>
    <t>hash0</t>
  </si>
  <si>
    <t>00000008</t>
  </si>
  <si>
    <t>HASH1</t>
  </si>
  <si>
    <t>Digest word 1</t>
  </si>
  <si>
    <t>hash1</t>
  </si>
  <si>
    <t>0000000c</t>
  </si>
  <si>
    <t>HASH2</t>
  </si>
  <si>
    <t>Digest word 2</t>
  </si>
  <si>
    <t>hash2</t>
  </si>
  <si>
    <t>00000010</t>
  </si>
  <si>
    <t>HASH3</t>
  </si>
  <si>
    <t>Digest word 3</t>
  </si>
  <si>
    <t>hash3</t>
  </si>
  <si>
    <t>00000014</t>
  </si>
  <si>
    <t>HASH4</t>
  </si>
  <si>
    <t>Digest word 4</t>
  </si>
  <si>
    <t>hash4</t>
  </si>
  <si>
    <t>00000018</t>
  </si>
  <si>
    <t>HASH5</t>
  </si>
  <si>
    <t>Digest word 5</t>
  </si>
  <si>
    <t>hash5</t>
  </si>
  <si>
    <t>0000001c</t>
  </si>
  <si>
    <t>HASH6</t>
  </si>
  <si>
    <t>Digest word 6</t>
  </si>
  <si>
    <t>hash6</t>
  </si>
  <si>
    <t>00000020</t>
  </si>
  <si>
    <t>HASH7</t>
  </si>
  <si>
    <t>Digest word 7</t>
  </si>
  <si>
    <t>hash7</t>
  </si>
  <si>
    <t>ID</t>
  </si>
  <si>
    <t>RC identity</t>
  </si>
  <si>
    <t>RC</t>
  </si>
  <si>
    <t>version</t>
  </si>
  <si>
    <t>Version</t>
  </si>
  <si>
    <t>magic</t>
  </si>
  <si>
    <t>Magic</t>
  </si>
  <si>
    <t>STATUS</t>
  </si>
  <si>
    <t>RO status</t>
  </si>
  <si>
    <t>code</t>
  </si>
  <si>
    <t>Status code</t>
  </si>
  <si>
    <t>Busy (tied in HTML)</t>
  </si>
  <si>
    <t>CFG</t>
  </si>
  <si>
    <t>RW config</t>
  </si>
  <si>
    <t>mode</t>
  </si>
  <si>
    <t>Mode</t>
  </si>
  <si>
    <t>enable</t>
  </si>
  <si>
    <t>Enable</t>
  </si>
  <si>
    <t>FEED</t>
  </si>
  <si>
    <t>RWW capture</t>
  </si>
  <si>
    <t>RWW</t>
  </si>
  <si>
    <t>capture</t>
  </si>
  <si>
    <t>Capture</t>
  </si>
  <si>
    <t>FIFO</t>
  </si>
  <si>
    <t>RWE window</t>
  </si>
  <si>
    <t>RWE</t>
  </si>
  <si>
    <t>data</t>
  </si>
  <si>
    <t>External data</t>
  </si>
  <si>
    <t>CMD</t>
  </si>
  <si>
    <t>W1P pulse</t>
  </si>
  <si>
    <t>go</t>
  </si>
  <si>
    <t>Go pulse</t>
  </si>
  <si>
    <t>IRQ</t>
  </si>
  <si>
    <t>W1C sticky</t>
  </si>
  <si>
    <t>W1C</t>
  </si>
  <si>
    <t>sticky</t>
  </si>
  <si>
    <t>Sticky IRQ</t>
  </si>
  <si>
    <t>BANK</t>
  </si>
  <si>
    <t>Shadowed RW</t>
  </si>
  <si>
    <t>bank</t>
  </si>
  <si>
    <t>cfg</t>
  </si>
  <si>
    <t>Per-bank cfg</t>
  </si>
  <si>
    <t>0000002c</t>
  </si>
  <si>
    <t>BANKSEL</t>
  </si>
  <si>
    <t>Saved working bank</t>
  </si>
  <si>
    <t>bank_sel</t>
  </si>
  <si>
    <t>Working bank</t>
  </si>
  <si>
    <t>00000034</t>
  </si>
  <si>
    <t>ACTIVE</t>
  </si>
  <si>
    <t>Muxed working cfg</t>
  </si>
  <si>
    <t>value</t>
  </si>
  <si>
    <t>Working copy of BANK.cfg</t>
  </si>
  <si>
    <t>00000030</t>
  </si>
  <si>
    <t>FABRIC</t>
  </si>
  <si>
    <t>Wishbone interconnect fabric controls</t>
  </si>
  <si>
    <t>rb_grant_en</t>
  </si>
  <si>
    <t>Arbiter: 0=fixed prio, 1=round-robin</t>
  </si>
  <si>
    <t>key_key_0</t>
  </si>
  <si>
    <t>96-bit key (key[31:0] of [95:0])</t>
  </si>
  <si>
    <t>key_0</t>
  </si>
  <si>
    <t>00000024</t>
  </si>
  <si>
    <t>key_key_1</t>
  </si>
  <si>
    <t>96-bit key (key[63:32] of [95:0])</t>
  </si>
  <si>
    <t>key_1</t>
  </si>
  <si>
    <t>00000028</t>
  </si>
  <si>
    <t>key_key_2</t>
  </si>
  <si>
    <t>96-bit key (key[95:64] of [95:0])</t>
  </si>
  <si>
    <t>key_2</t>
  </si>
  <si>
    <t>Abs Addr</t>
  </si>
  <si>
    <t>Offset</t>
  </si>
  <si>
    <t>Size</t>
  </si>
  <si>
    <t>Tag / Broadcast</t>
  </si>
  <si>
    <t>Name</t>
  </si>
  <si>
    <t>Type</t>
  </si>
  <si>
    <t>Description</t>
  </si>
  <si>
    <t>0x00000000</t>
  </si>
  <si>
    <t>0x03006038</t>
  </si>
  <si>
    <t>bank=ADR[27:26]</t>
  </si>
  <si>
    <t>0x00010000</t>
  </si>
  <si>
    <t>soc_wb</t>
  </si>
  <si>
    <t>interconnect</t>
  </si>
  <si>
    <t>Demo SoC Wishbone interconnect (CPU + JTAG) cascaded into two sd_sha channels</t>
  </si>
  <si>
    <t>sram</t>
  </si>
  <si>
    <t>port</t>
  </si>
  <si>
    <t>64 KiB SRAM</t>
  </si>
  <si>
    <t>0x01000000</t>
  </si>
  <si>
    <t>flash_xip</t>
  </si>
  <si>
    <t>SPI flash XIP</t>
  </si>
  <si>
    <t>0x02000000</t>
  </si>
  <si>
    <t>0x00000004</t>
  </si>
  <si>
    <t>flash_cfg</t>
  </si>
  <si>
    <t>SPI flash cfg</t>
  </si>
  <si>
    <t>0x02000004</t>
  </si>
  <si>
    <t>0x00000008</t>
  </si>
  <si>
    <t>uart</t>
  </si>
  <si>
    <t>simpleuart</t>
  </si>
  <si>
    <t>0x02000010</t>
  </si>
  <si>
    <t>testout</t>
  </si>
  <si>
    <t>test output</t>
  </si>
  <si>
    <t>0x03000000</t>
  </si>
  <si>
    <t>0x00001000</t>
  </si>
  <si>
    <t>bank=uplink</t>
  </si>
  <si>
    <t>0x000</t>
  </si>
  <si>
    <t>0x010</t>
  </si>
  <si>
    <t>ch0</t>
  </si>
  <si>
    <t>SD + DMA + SHA256 channel interconnect (uplink + engine)</t>
  </si>
  <si>
    <t>sd</t>
  </si>
  <si>
    <t>sdspi CSR</t>
  </si>
  <si>
    <t>0x03000010</t>
  </si>
  <si>
    <t>dma</t>
  </si>
  <si>
    <t>sd_rd_dma CSR</t>
  </si>
  <si>
    <t>0x03000040</t>
  </si>
  <si>
    <t>0x040</t>
  </si>
  <si>
    <t>0x024</t>
  </si>
  <si>
    <t>sha256</t>
  </si>
  <si>
    <t>regfile</t>
  </si>
  <si>
    <t>SHA256 CSR (CTRL + HASH0..7); instantiate once per fabric lane</t>
  </si>
  <si>
    <t>0x03001000</t>
  </si>
  <si>
    <t>repeat of sd_sha</t>
  </si>
  <si>
    <t>ch1</t>
  </si>
  <si>
    <t>interconnect (repeat)</t>
  </si>
  <si>
    <t>0x03006000</t>
  </si>
  <si>
    <t>0x00000038</t>
  </si>
  <si>
    <t>shadow: bank</t>
  </si>
  <si>
    <t>smoke</t>
  </si>
  <si>
    <t>SoC regfile smoke bank (RC/RO/RW/RWW/RWE/W1P/W1C/shadow/wide)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</si>
</sst>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Consolas"/>
    </font>
    <font>
      <name val="Consolas"/>
    </font>
  </fonts>
  <fills count="11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00"/>
      </patternFill>
    </fill>
    <fill>
      <patternFill patternType="solid">
        <fgColor rgb="FFD0D0D0"/>
      </patternFill>
    </fill>
    <fill>
      <patternFill patternType="solid">
        <fgColor rgb="FFE8E8E8"/>
      </patternFill>
    </fill>
    <fill>
      <patternFill patternType="solid">
        <fgColor rgb="FFDCE9F5"/>
      </patternFill>
    </fill>
    <fill>
      <patternFill patternType="solid">
        <fgColor rgb="FFE4EEDC"/>
      </patternFill>
    </fill>
    <fill>
      <patternFill patternType="solid">
        <fgColor rgb="FFECECEC"/>
      </patternFill>
    </fill>
    <fill>
      <patternFill patternType="solid">
        <fgColor rgb="FFFDF3D8"/>
      </patternFill>
    </fill>
    <fill>
      <patternFill patternType="solid">
        <fgColor rgb="FFF2E0D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9AA0A6"/>
      </left>
      <right style="thin">
        <color rgb="FF9AA0A6"/>
      </right>
      <top style="hair">
        <color rgb="FFBFBFBF"/>
      </top>
      <bottom style="thin">
        <color rgb="FF9AA0A6"/>
      </bottom>
      <diagonal/>
    </border>
    <border>
      <left style="thin">
        <color rgb="FF9AA0A6"/>
      </left>
      <right style="hair">
        <color rgb="FFBFBFBF"/>
      </right>
      <top style="thin">
        <color rgb="FF9AA0A6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thin">
        <color rgb="FF9AA0A6"/>
      </top>
      <bottom style="hair">
        <color rgb="FFBFBFBF"/>
      </bottom>
      <diagonal/>
    </border>
    <border>
      <left style="hair">
        <color rgb="FFBFBFBF"/>
      </left>
      <right style="thin">
        <color rgb="FF9AA0A6"/>
      </right>
      <top style="thin">
        <color rgb="FF9AA0A6"/>
      </top>
      <bottom style="hair">
        <color rgb="FFBFBFBF"/>
      </bottom>
      <diagonal/>
    </border>
    <border>
      <left style="thin">
        <color rgb="FF9AA0A6"/>
      </left>
      <right style="hair">
        <color rgb="FFBFBFBF"/>
      </right>
      <top style="hair">
        <color rgb="FFBFBFBF"/>
      </top>
      <bottom style="thin">
        <color rgb="FF9AA0A6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9AA0A6"/>
      </bottom>
      <diagonal/>
    </border>
    <border>
      <left style="hair">
        <color rgb="FFBFBFBF"/>
      </left>
      <right style="thin">
        <color rgb="FF9AA0A6"/>
      </right>
      <top style="hair">
        <color rgb="FFBFBFBF"/>
      </top>
      <bottom style="thin">
        <color rgb="FF9AA0A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top" wrapText="1"/>
    </xf>
    <xf numFmtId="0" fontId="2" fillId="7" borderId="5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8" borderId="4" xfId="0" applyFont="1" applyFill="1" applyBorder="1" applyAlignment="1">
      <alignment horizontal="left" vertical="top" wrapText="1"/>
    </xf>
    <xf numFmtId="0" fontId="2" fillId="8" borderId="5" xfId="0" applyFont="1" applyFill="1" applyBorder="1" applyAlignment="1">
      <alignment horizontal="left" vertical="top" wrapText="1"/>
    </xf>
    <xf numFmtId="0" fontId="2" fillId="8" borderId="6" xfId="0" applyFont="1" applyFill="1" applyBorder="1" applyAlignment="1">
      <alignment horizontal="left" vertical="top" wrapText="1"/>
    </xf>
    <xf numFmtId="0" fontId="2" fillId="7" borderId="7" xfId="0" applyFont="1" applyFill="1" applyBorder="1" applyAlignment="1">
      <alignment horizontal="left" vertical="top" wrapText="1"/>
    </xf>
    <xf numFmtId="0" fontId="2" fillId="7" borderId="8" xfId="0" applyFont="1" applyFill="1" applyBorder="1" applyAlignment="1">
      <alignment horizontal="left" vertical="top" wrapText="1"/>
    </xf>
    <xf numFmtId="0" fontId="2" fillId="7" borderId="9" xfId="0" applyFont="1" applyFill="1" applyBorder="1" applyAlignment="1">
      <alignment horizontal="left" vertical="top" wrapText="1"/>
    </xf>
    <xf numFmtId="0" fontId="2" fillId="8" borderId="7" xfId="0" applyFont="1" applyFill="1" applyBorder="1" applyAlignment="1">
      <alignment horizontal="left" vertical="top" wrapText="1"/>
    </xf>
    <xf numFmtId="0" fontId="2" fillId="8" borderId="8" xfId="0" applyFont="1" applyFill="1" applyBorder="1" applyAlignment="1">
      <alignment horizontal="left" vertical="top" wrapText="1"/>
    </xf>
    <xf numFmtId="0" fontId="2" fillId="8" borderId="9" xfId="0" applyFont="1" applyFill="1" applyBorder="1" applyAlignment="1">
      <alignment horizontal="left" vertical="top" wrapText="1"/>
    </xf>
    <xf numFmtId="0" fontId="2" fillId="0" borderId="0" xfId="0" applyFont="1"/>
    <xf numFmtId="0" fontId="2" fillId="9" borderId="4" xfId="0" applyFont="1" applyFill="1" applyBorder="1" applyAlignment="1">
      <alignment horizontal="left" vertical="top" wrapText="1"/>
    </xf>
    <xf numFmtId="0" fontId="2" fillId="9" borderId="5" xfId="0" applyFont="1" applyFill="1" applyBorder="1" applyAlignment="1">
      <alignment horizontal="left" vertical="top" wrapText="1"/>
    </xf>
    <xf numFmtId="0" fontId="2" fillId="9" borderId="6" xfId="0" applyFont="1" applyFill="1" applyBorder="1" applyAlignment="1">
      <alignment horizontal="left" vertical="top" wrapText="1"/>
    </xf>
    <xf numFmtId="0" fontId="2" fillId="9" borderId="7" xfId="0" applyFont="1" applyFill="1" applyBorder="1" applyAlignment="1">
      <alignment horizontal="left" vertical="top" wrapText="1"/>
    </xf>
    <xf numFmtId="0" fontId="2" fillId="9" borderId="8" xfId="0" applyFont="1" applyFill="1" applyBorder="1" applyAlignment="1">
      <alignment horizontal="left" vertical="top" wrapText="1"/>
    </xf>
    <xf numFmtId="0" fontId="2" fillId="9" borderId="9" xfId="0" applyFont="1" applyFill="1" applyBorder="1" applyAlignment="1">
      <alignment horizontal="left" vertical="top" wrapText="1"/>
    </xf>
    <xf numFmtId="0" fontId="2" fillId="10" borderId="4" xfId="0" applyFont="1" applyFill="1" applyBorder="1" applyAlignment="1">
      <alignment horizontal="left" vertical="top" wrapText="1"/>
    </xf>
    <xf numFmtId="0" fontId="2" fillId="10" borderId="5" xfId="0" applyFont="1" applyFill="1" applyBorder="1" applyAlignment="1">
      <alignment horizontal="left" vertical="top" wrapText="1"/>
    </xf>
    <xf numFmtId="0" fontId="2" fillId="10" borderId="6" xfId="0" applyFont="1" applyFill="1" applyBorder="1" applyAlignment="1">
      <alignment horizontal="left" vertical="top" wrapText="1"/>
    </xf>
    <xf numFmtId="0" fontId="2" fillId="10" borderId="7" xfId="0" applyFont="1" applyFill="1" applyBorder="1" applyAlignment="1">
      <alignment horizontal="left" vertical="top" wrapText="1"/>
    </xf>
    <xf numFmtId="0" fontId="2" fillId="10" borderId="8" xfId="0" applyFont="1" applyFill="1" applyBorder="1" applyAlignment="1">
      <alignment horizontal="left" vertical="top" wrapText="1"/>
    </xf>
    <xf numFmtId="0" fontId="2" fillId="10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FormatPr defaultRowHeight="15" outlineLevelRow="0" outlineLevelCol="0" x14ac:dyDescent="55"/>
  <cols>
    <col min="5" max="5" width="16" customWidth="1"/>
    <col min="7" max="7" width="30" customWidth="1"/>
    <col min="8" max="8" width="40" customWidth="1"/>
    <col min="9" max="12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13</v>
      </c>
      <c r="D2" s="2">
        <f>SUM(D3:D8)</f>
      </c>
      <c r="E2" s="2">
        <f>CONCATENATE("32'h",J2)</f>
      </c>
      <c r="F2" s="2" t="s">
        <v>13</v>
      </c>
      <c r="G2" s="2" t="s">
        <v>14</v>
      </c>
      <c r="H2" s="2" t="s">
        <v>15</v>
      </c>
      <c r="I2" s="2" t="s">
        <v>13</v>
      </c>
      <c r="J2" s="2">
        <f>LOWER(DEC2HEX(K2, 8))</f>
      </c>
      <c r="K2" s="2">
        <f>SUM(K3:K8)</f>
      </c>
      <c r="L2" s="2" t="s">
        <v>13</v>
      </c>
    </row>
    <row r="3" spans="1:12" x14ac:dyDescent="0.25">
      <c r="A3" s="3" t="s">
        <v>13</v>
      </c>
      <c r="B3" s="3">
        <v>10</v>
      </c>
      <c r="C3" s="3">
        <v>31</v>
      </c>
      <c r="D3" s="3">
        <f>C3-B3+1</f>
      </c>
      <c r="E3" s="3">
        <f>CONCATENATE(D3,"'h",J3)</f>
      </c>
      <c r="F3" s="3" t="s">
        <v>16</v>
      </c>
      <c r="G3" s="3" t="s">
        <v>17</v>
      </c>
      <c r="H3" s="3" t="s">
        <v>18</v>
      </c>
      <c r="I3" s="3">
        <v>0</v>
      </c>
      <c r="J3" s="3">
        <f>LOWER(DEC2HEX((I3)))</f>
      </c>
      <c r="K3" s="3">
        <f>I3*(2^B3)</f>
      </c>
      <c r="L3" s="3" t="s">
        <v>13</v>
      </c>
    </row>
    <row r="4" spans="1:12" x14ac:dyDescent="0.25">
      <c r="A4" s="4" t="s">
        <v>13</v>
      </c>
      <c r="B4" s="4">
        <v>9</v>
      </c>
      <c r="C4" s="4">
        <v>9</v>
      </c>
      <c r="D4" s="4">
        <f>C4-B4+1</f>
      </c>
      <c r="E4" s="4">
        <f>CONCATENATE(D4,"'h",J4)</f>
      </c>
      <c r="F4" s="4" t="s">
        <v>16</v>
      </c>
      <c r="G4" s="4" t="s">
        <v>19</v>
      </c>
      <c r="H4" s="4" t="s">
        <v>20</v>
      </c>
      <c r="I4" s="4">
        <v>0</v>
      </c>
      <c r="J4" s="4">
        <f>LOWER(DEC2HEX((I4)))</f>
      </c>
      <c r="K4" s="4">
        <f>I4*(2^B4)</f>
      </c>
      <c r="L4" s="4" t="s">
        <v>13</v>
      </c>
    </row>
    <row r="5" spans="1:12" x14ac:dyDescent="0.25">
      <c r="A5" s="4" t="s">
        <v>13</v>
      </c>
      <c r="B5" s="4">
        <v>8</v>
      </c>
      <c r="C5" s="4">
        <v>8</v>
      </c>
      <c r="D5" s="4">
        <f>C5-B5+1</f>
      </c>
      <c r="E5" s="4">
        <f>CONCATENATE(D5,"'h",J5)</f>
      </c>
      <c r="F5" s="4" t="s">
        <v>16</v>
      </c>
      <c r="G5" s="4" t="s">
        <v>21</v>
      </c>
      <c r="H5" s="4" t="s">
        <v>22</v>
      </c>
      <c r="I5" s="4">
        <v>0</v>
      </c>
      <c r="J5" s="4">
        <f>LOWER(DEC2HEX((I5)))</f>
      </c>
      <c r="K5" s="4">
        <f>I5*(2^B5)</f>
      </c>
      <c r="L5" s="4" t="s">
        <v>13</v>
      </c>
    </row>
    <row r="6" spans="1:12" x14ac:dyDescent="0.25">
      <c r="A6" s="3" t="s">
        <v>13</v>
      </c>
      <c r="B6" s="3">
        <v>2</v>
      </c>
      <c r="C6" s="3">
        <v>7</v>
      </c>
      <c r="D6" s="3">
        <f>C6-B6+1</f>
      </c>
      <c r="E6" s="3">
        <f>CONCATENATE(D6,"'h",J6)</f>
      </c>
      <c r="F6" s="3" t="s">
        <v>16</v>
      </c>
      <c r="G6" s="3" t="s">
        <v>17</v>
      </c>
      <c r="H6" s="3" t="s">
        <v>18</v>
      </c>
      <c r="I6" s="3">
        <v>0</v>
      </c>
      <c r="J6" s="3">
        <f>LOWER(DEC2HEX((I6)))</f>
      </c>
      <c r="K6" s="3">
        <f>I6*(2^B6)</f>
      </c>
      <c r="L6" s="3" t="s">
        <v>13</v>
      </c>
    </row>
    <row r="7" spans="1:12" x14ac:dyDescent="0.25">
      <c r="A7" s="4" t="s">
        <v>13</v>
      </c>
      <c r="B7" s="4">
        <v>1</v>
      </c>
      <c r="C7" s="4">
        <v>1</v>
      </c>
      <c r="D7" s="4">
        <f>C7-B7+1</f>
      </c>
      <c r="E7" s="4">
        <f>CONCATENATE(D7,"'h",J7)</f>
      </c>
      <c r="F7" s="4" t="s">
        <v>23</v>
      </c>
      <c r="G7" s="4" t="s">
        <v>24</v>
      </c>
      <c r="H7" s="4" t="s">
        <v>25</v>
      </c>
      <c r="I7" s="4">
        <v>0</v>
      </c>
      <c r="J7" s="4">
        <f>LOWER(DEC2HEX((I7)))</f>
      </c>
      <c r="K7" s="4">
        <f>I7*(2^B7)</f>
      </c>
      <c r="L7" s="4" t="s">
        <v>13</v>
      </c>
    </row>
    <row r="8" spans="1:12" x14ac:dyDescent="0.25">
      <c r="A8" s="4" t="s">
        <v>13</v>
      </c>
      <c r="B8" s="4">
        <v>0</v>
      </c>
      <c r="C8" s="4">
        <v>0</v>
      </c>
      <c r="D8" s="4">
        <f>C8-B8+1</f>
      </c>
      <c r="E8" s="4">
        <f>CONCATENATE(D8,"'h",J8)</f>
      </c>
      <c r="F8" s="4" t="s">
        <v>26</v>
      </c>
      <c r="G8" s="4" t="s">
        <v>27</v>
      </c>
      <c r="H8" s="4" t="s">
        <v>28</v>
      </c>
      <c r="I8" s="4">
        <v>0</v>
      </c>
      <c r="J8" s="4">
        <f>LOWER(DEC2HEX((I8)))</f>
      </c>
      <c r="K8" s="4">
        <f>I8*(2^B8)</f>
      </c>
      <c r="L8" s="4" t="s">
        <v>13</v>
      </c>
    </row>
    <row r="9" spans="1:12" x14ac:dyDescent="0.25">
      <c r="A9" s="2" t="s">
        <v>29</v>
      </c>
      <c r="B9" s="2" t="s">
        <v>13</v>
      </c>
      <c r="C9" s="2" t="s">
        <v>13</v>
      </c>
      <c r="D9" s="2">
        <f>SUM(D10:D10)</f>
      </c>
      <c r="E9" s="2">
        <f>CONCATENATE("32'h",J9)</f>
      </c>
      <c r="F9" s="2" t="s">
        <v>13</v>
      </c>
      <c r="G9" s="2" t="s">
        <v>30</v>
      </c>
      <c r="H9" s="2" t="s">
        <v>31</v>
      </c>
      <c r="I9" s="2" t="s">
        <v>13</v>
      </c>
      <c r="J9" s="2">
        <f>LOWER(DEC2HEX(K9, 8))</f>
      </c>
      <c r="K9" s="2">
        <f>SUM(K10:K10)</f>
      </c>
      <c r="L9" s="2" t="s">
        <v>13</v>
      </c>
    </row>
    <row r="10" spans="1:12" x14ac:dyDescent="0.25">
      <c r="A10" s="4" t="s">
        <v>13</v>
      </c>
      <c r="B10" s="4">
        <v>0</v>
      </c>
      <c r="C10" s="4">
        <v>31</v>
      </c>
      <c r="D10" s="4">
        <f>C10-B10+1</f>
      </c>
      <c r="E10" s="4">
        <f>CONCATENATE(D10,"'h",J10)</f>
      </c>
      <c r="F10" s="4" t="s">
        <v>16</v>
      </c>
      <c r="G10" s="4" t="s">
        <v>32</v>
      </c>
      <c r="H10" s="4" t="s">
        <v>32</v>
      </c>
      <c r="I10" s="4">
        <v>0</v>
      </c>
      <c r="J10" s="4">
        <f>LOWER(DEC2HEX((I10)))</f>
      </c>
      <c r="K10" s="4">
        <f>I10*(2^B10)</f>
      </c>
      <c r="L10" s="4" t="s">
        <v>13</v>
      </c>
    </row>
    <row r="11" spans="1:12" x14ac:dyDescent="0.25">
      <c r="A11" s="2" t="s">
        <v>33</v>
      </c>
      <c r="B11" s="2" t="s">
        <v>13</v>
      </c>
      <c r="C11" s="2" t="s">
        <v>13</v>
      </c>
      <c r="D11" s="2">
        <f>SUM(D12:D12)</f>
      </c>
      <c r="E11" s="2">
        <f>CONCATENATE("32'h",J11)</f>
      </c>
      <c r="F11" s="2" t="s">
        <v>13</v>
      </c>
      <c r="G11" s="2" t="s">
        <v>34</v>
      </c>
      <c r="H11" s="2" t="s">
        <v>35</v>
      </c>
      <c r="I11" s="2" t="s">
        <v>13</v>
      </c>
      <c r="J11" s="2">
        <f>LOWER(DEC2HEX(K11, 8))</f>
      </c>
      <c r="K11" s="2">
        <f>SUM(K12:K12)</f>
      </c>
      <c r="L11" s="2" t="s">
        <v>13</v>
      </c>
    </row>
    <row r="12" spans="1:12" x14ac:dyDescent="0.25">
      <c r="A12" s="4" t="s">
        <v>13</v>
      </c>
      <c r="B12" s="4">
        <v>0</v>
      </c>
      <c r="C12" s="4">
        <v>31</v>
      </c>
      <c r="D12" s="4">
        <f>C12-B12+1</f>
      </c>
      <c r="E12" s="4">
        <f>CONCATENATE(D12,"'h",J12)</f>
      </c>
      <c r="F12" s="4" t="s">
        <v>16</v>
      </c>
      <c r="G12" s="4" t="s">
        <v>36</v>
      </c>
      <c r="H12" s="4" t="s">
        <v>36</v>
      </c>
      <c r="I12" s="4">
        <v>0</v>
      </c>
      <c r="J12" s="4">
        <f>LOWER(DEC2HEX((I12)))</f>
      </c>
      <c r="K12" s="4">
        <f>I12*(2^B12)</f>
      </c>
      <c r="L12" s="4" t="s">
        <v>13</v>
      </c>
    </row>
    <row r="13" spans="1:12" x14ac:dyDescent="0.25">
      <c r="A13" s="2" t="s">
        <v>37</v>
      </c>
      <c r="B13" s="2" t="s">
        <v>13</v>
      </c>
      <c r="C13" s="2" t="s">
        <v>13</v>
      </c>
      <c r="D13" s="2">
        <f>SUM(D14:D14)</f>
      </c>
      <c r="E13" s="2">
        <f>CONCATENATE("32'h",J13)</f>
      </c>
      <c r="F13" s="2" t="s">
        <v>13</v>
      </c>
      <c r="G13" s="2" t="s">
        <v>38</v>
      </c>
      <c r="H13" s="2" t="s">
        <v>39</v>
      </c>
      <c r="I13" s="2" t="s">
        <v>13</v>
      </c>
      <c r="J13" s="2">
        <f>LOWER(DEC2HEX(K13, 8))</f>
      </c>
      <c r="K13" s="2">
        <f>SUM(K14:K14)</f>
      </c>
      <c r="L13" s="2" t="s">
        <v>13</v>
      </c>
    </row>
    <row r="14" spans="1:12" x14ac:dyDescent="0.25">
      <c r="A14" s="4" t="s">
        <v>13</v>
      </c>
      <c r="B14" s="4">
        <v>0</v>
      </c>
      <c r="C14" s="4">
        <v>31</v>
      </c>
      <c r="D14" s="4">
        <f>C14-B14+1</f>
      </c>
      <c r="E14" s="4">
        <f>CONCATENATE(D14,"'h",J14)</f>
      </c>
      <c r="F14" s="4" t="s">
        <v>16</v>
      </c>
      <c r="G14" s="4" t="s">
        <v>40</v>
      </c>
      <c r="H14" s="4" t="s">
        <v>40</v>
      </c>
      <c r="I14" s="4">
        <v>0</v>
      </c>
      <c r="J14" s="4">
        <f>LOWER(DEC2HEX((I14)))</f>
      </c>
      <c r="K14" s="4">
        <f>I14*(2^B14)</f>
      </c>
      <c r="L14" s="4" t="s">
        <v>13</v>
      </c>
    </row>
    <row r="15" spans="1:12" x14ac:dyDescent="0.25">
      <c r="A15" s="2" t="s">
        <v>41</v>
      </c>
      <c r="B15" s="2" t="s">
        <v>13</v>
      </c>
      <c r="C15" s="2" t="s">
        <v>13</v>
      </c>
      <c r="D15" s="2">
        <f>SUM(D16:D16)</f>
      </c>
      <c r="E15" s="2">
        <f>CONCATENATE("32'h",J15)</f>
      </c>
      <c r="F15" s="2" t="s">
        <v>13</v>
      </c>
      <c r="G15" s="2" t="s">
        <v>42</v>
      </c>
      <c r="H15" s="2" t="s">
        <v>43</v>
      </c>
      <c r="I15" s="2" t="s">
        <v>13</v>
      </c>
      <c r="J15" s="2">
        <f>LOWER(DEC2HEX(K15, 8))</f>
      </c>
      <c r="K15" s="2">
        <f>SUM(K16:K16)</f>
      </c>
      <c r="L15" s="2" t="s">
        <v>13</v>
      </c>
    </row>
    <row r="16" spans="1:12" x14ac:dyDescent="0.25">
      <c r="A16" s="4" t="s">
        <v>13</v>
      </c>
      <c r="B16" s="4">
        <v>0</v>
      </c>
      <c r="C16" s="4">
        <v>31</v>
      </c>
      <c r="D16" s="4">
        <f>C16-B16+1</f>
      </c>
      <c r="E16" s="4">
        <f>CONCATENATE(D16,"'h",J16)</f>
      </c>
      <c r="F16" s="4" t="s">
        <v>16</v>
      </c>
      <c r="G16" s="4" t="s">
        <v>44</v>
      </c>
      <c r="H16" s="4" t="s">
        <v>44</v>
      </c>
      <c r="I16" s="4">
        <v>0</v>
      </c>
      <c r="J16" s="4">
        <f>LOWER(DEC2HEX((I16)))</f>
      </c>
      <c r="K16" s="4">
        <f>I16*(2^B16)</f>
      </c>
      <c r="L16" s="4" t="s">
        <v>13</v>
      </c>
    </row>
    <row r="17" spans="1:12" x14ac:dyDescent="0.25">
      <c r="A17" s="2" t="s">
        <v>45</v>
      </c>
      <c r="B17" s="2" t="s">
        <v>13</v>
      </c>
      <c r="C17" s="2" t="s">
        <v>13</v>
      </c>
      <c r="D17" s="2">
        <f>SUM(D18:D18)</f>
      </c>
      <c r="E17" s="2">
        <f>CONCATENATE("32'h",J17)</f>
      </c>
      <c r="F17" s="2" t="s">
        <v>13</v>
      </c>
      <c r="G17" s="2" t="s">
        <v>46</v>
      </c>
      <c r="H17" s="2" t="s">
        <v>47</v>
      </c>
      <c r="I17" s="2" t="s">
        <v>13</v>
      </c>
      <c r="J17" s="2">
        <f>LOWER(DEC2HEX(K17, 8))</f>
      </c>
      <c r="K17" s="2">
        <f>SUM(K18:K18)</f>
      </c>
      <c r="L17" s="2" t="s">
        <v>13</v>
      </c>
    </row>
    <row r="18" spans="1:12" x14ac:dyDescent="0.25">
      <c r="A18" s="4" t="s">
        <v>13</v>
      </c>
      <c r="B18" s="4">
        <v>0</v>
      </c>
      <c r="C18" s="4">
        <v>31</v>
      </c>
      <c r="D18" s="4">
        <f>C18-B18+1</f>
      </c>
      <c r="E18" s="4">
        <f>CONCATENATE(D18,"'h",J18)</f>
      </c>
      <c r="F18" s="4" t="s">
        <v>16</v>
      </c>
      <c r="G18" s="4" t="s">
        <v>48</v>
      </c>
      <c r="H18" s="4" t="s">
        <v>48</v>
      </c>
      <c r="I18" s="4">
        <v>0</v>
      </c>
      <c r="J18" s="4">
        <f>LOWER(DEC2HEX((I18)))</f>
      </c>
      <c r="K18" s="4">
        <f>I18*(2^B18)</f>
      </c>
      <c r="L18" s="4" t="s">
        <v>13</v>
      </c>
    </row>
    <row r="19" spans="1:12" x14ac:dyDescent="0.25">
      <c r="A19" s="2" t="s">
        <v>49</v>
      </c>
      <c r="B19" s="2" t="s">
        <v>13</v>
      </c>
      <c r="C19" s="2" t="s">
        <v>13</v>
      </c>
      <c r="D19" s="2">
        <f>SUM(D20:D20)</f>
      </c>
      <c r="E19" s="2">
        <f>CONCATENATE("32'h",J19)</f>
      </c>
      <c r="F19" s="2" t="s">
        <v>13</v>
      </c>
      <c r="G19" s="2" t="s">
        <v>50</v>
      </c>
      <c r="H19" s="2" t="s">
        <v>51</v>
      </c>
      <c r="I19" s="2" t="s">
        <v>13</v>
      </c>
      <c r="J19" s="2">
        <f>LOWER(DEC2HEX(K19, 8))</f>
      </c>
      <c r="K19" s="2">
        <f>SUM(K20:K20)</f>
      </c>
      <c r="L19" s="2" t="s">
        <v>13</v>
      </c>
    </row>
    <row r="20" spans="1:12" x14ac:dyDescent="0.25">
      <c r="A20" s="4" t="s">
        <v>13</v>
      </c>
      <c r="B20" s="4">
        <v>0</v>
      </c>
      <c r="C20" s="4">
        <v>31</v>
      </c>
      <c r="D20" s="4">
        <f>C20-B20+1</f>
      </c>
      <c r="E20" s="4">
        <f>CONCATENATE(D20,"'h",J20)</f>
      </c>
      <c r="F20" s="4" t="s">
        <v>16</v>
      </c>
      <c r="G20" s="4" t="s">
        <v>52</v>
      </c>
      <c r="H20" s="4" t="s">
        <v>52</v>
      </c>
      <c r="I20" s="4">
        <v>0</v>
      </c>
      <c r="J20" s="4">
        <f>LOWER(DEC2HEX((I20)))</f>
      </c>
      <c r="K20" s="4">
        <f>I20*(2^B20)</f>
      </c>
      <c r="L20" s="4" t="s">
        <v>13</v>
      </c>
    </row>
    <row r="21" spans="1:12" x14ac:dyDescent="0.25">
      <c r="A21" s="2" t="s">
        <v>53</v>
      </c>
      <c r="B21" s="2" t="s">
        <v>13</v>
      </c>
      <c r="C21" s="2" t="s">
        <v>13</v>
      </c>
      <c r="D21" s="2">
        <f>SUM(D22:D22)</f>
      </c>
      <c r="E21" s="2">
        <f>CONCATENATE("32'h",J21)</f>
      </c>
      <c r="F21" s="2" t="s">
        <v>13</v>
      </c>
      <c r="G21" s="2" t="s">
        <v>54</v>
      </c>
      <c r="H21" s="2" t="s">
        <v>55</v>
      </c>
      <c r="I21" s="2" t="s">
        <v>13</v>
      </c>
      <c r="J21" s="2">
        <f>LOWER(DEC2HEX(K21, 8))</f>
      </c>
      <c r="K21" s="2">
        <f>SUM(K22:K22)</f>
      </c>
      <c r="L21" s="2" t="s">
        <v>13</v>
      </c>
    </row>
    <row r="22" spans="1:12" x14ac:dyDescent="0.25">
      <c r="A22" s="4" t="s">
        <v>13</v>
      </c>
      <c r="B22" s="4">
        <v>0</v>
      </c>
      <c r="C22" s="4">
        <v>31</v>
      </c>
      <c r="D22" s="4">
        <f>C22-B22+1</f>
      </c>
      <c r="E22" s="4">
        <f>CONCATENATE(D22,"'h",J22)</f>
      </c>
      <c r="F22" s="4" t="s">
        <v>16</v>
      </c>
      <c r="G22" s="4" t="s">
        <v>56</v>
      </c>
      <c r="H22" s="4" t="s">
        <v>56</v>
      </c>
      <c r="I22" s="4">
        <v>0</v>
      </c>
      <c r="J22" s="4">
        <f>LOWER(DEC2HEX((I22)))</f>
      </c>
      <c r="K22" s="4">
        <f>I22*(2^B22)</f>
      </c>
      <c r="L22" s="4" t="s">
        <v>13</v>
      </c>
    </row>
    <row r="23" spans="1:12" x14ac:dyDescent="0.25">
      <c r="A23" s="2" t="s">
        <v>57</v>
      </c>
      <c r="B23" s="2" t="s">
        <v>13</v>
      </c>
      <c r="C23" s="2" t="s">
        <v>13</v>
      </c>
      <c r="D23" s="2">
        <f>SUM(D24:D24)</f>
      </c>
      <c r="E23" s="2">
        <f>CONCATENATE("32'h",J23)</f>
      </c>
      <c r="F23" s="2" t="s">
        <v>13</v>
      </c>
      <c r="G23" s="2" t="s">
        <v>58</v>
      </c>
      <c r="H23" s="2" t="s">
        <v>59</v>
      </c>
      <c r="I23" s="2" t="s">
        <v>13</v>
      </c>
      <c r="J23" s="2">
        <f>LOWER(DEC2HEX(K23, 8))</f>
      </c>
      <c r="K23" s="2">
        <f>SUM(K24:K24)</f>
      </c>
      <c r="L23" s="2" t="s">
        <v>13</v>
      </c>
    </row>
    <row r="24" spans="1:12" x14ac:dyDescent="0.25">
      <c r="A24" s="4" t="s">
        <v>13</v>
      </c>
      <c r="B24" s="4">
        <v>0</v>
      </c>
      <c r="C24" s="4">
        <v>31</v>
      </c>
      <c r="D24" s="4">
        <f>C24-B24+1</f>
      </c>
      <c r="E24" s="4">
        <f>CONCATENATE(D24,"'h",J24)</f>
      </c>
      <c r="F24" s="4" t="s">
        <v>16</v>
      </c>
      <c r="G24" s="4" t="s">
        <v>60</v>
      </c>
      <c r="H24" s="4" t="s">
        <v>60</v>
      </c>
      <c r="I24" s="4">
        <v>0</v>
      </c>
      <c r="J24" s="4">
        <f>LOWER(DEC2HEX((I24)))</f>
      </c>
      <c r="K24" s="4">
        <f>I24*(2^B24)</f>
      </c>
      <c r="L24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5" max="5" width="16" customWidth="1"/>
    <col min="7" max="7" width="30" customWidth="1"/>
    <col min="8" max="8" width="40" customWidth="1"/>
    <col min="9" max="12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13</v>
      </c>
      <c r="D2" s="2">
        <f>SUM(D3:D4)</f>
      </c>
      <c r="E2" s="2">
        <f>CONCATENATE("32'h",J2)</f>
      </c>
      <c r="F2" s="2" t="s">
        <v>13</v>
      </c>
      <c r="G2" s="2" t="s">
        <v>61</v>
      </c>
      <c r="H2" s="2" t="s">
        <v>62</v>
      </c>
      <c r="I2" s="2" t="s">
        <v>13</v>
      </c>
      <c r="J2" s="2">
        <f>LOWER(DEC2HEX(K2, 8))</f>
      </c>
      <c r="K2" s="2">
        <f>SUM(K3:K4)</f>
      </c>
      <c r="L2" s="2" t="s">
        <v>13</v>
      </c>
    </row>
    <row r="3" spans="1:12" x14ac:dyDescent="0.25">
      <c r="A3" s="4" t="s">
        <v>13</v>
      </c>
      <c r="B3" s="4">
        <v>16</v>
      </c>
      <c r="C3" s="4">
        <v>31</v>
      </c>
      <c r="D3" s="4">
        <f>C3-B3+1</f>
      </c>
      <c r="E3" s="4">
        <f>CONCATENATE(D3,"'h",J3)</f>
      </c>
      <c r="F3" s="4" t="s">
        <v>63</v>
      </c>
      <c r="G3" s="4" t="s">
        <v>64</v>
      </c>
      <c r="H3" s="4" t="s">
        <v>65</v>
      </c>
      <c r="I3" s="4">
        <v>1</v>
      </c>
      <c r="J3" s="4">
        <f>LOWER(DEC2HEX((I3)))</f>
      </c>
      <c r="K3" s="4">
        <f>I3*(2^B3)</f>
      </c>
      <c r="L3" s="4" t="s">
        <v>13</v>
      </c>
    </row>
    <row r="4" spans="1:12" x14ac:dyDescent="0.25">
      <c r="A4" s="4" t="s">
        <v>13</v>
      </c>
      <c r="B4" s="4">
        <v>0</v>
      </c>
      <c r="C4" s="4">
        <v>15</v>
      </c>
      <c r="D4" s="4">
        <f>C4-B4+1</f>
      </c>
      <c r="E4" s="4">
        <f>CONCATENATE(D4,"'h",J4)</f>
      </c>
      <c r="F4" s="4" t="s">
        <v>63</v>
      </c>
      <c r="G4" s="4" t="s">
        <v>66</v>
      </c>
      <c r="H4" s="4" t="s">
        <v>67</v>
      </c>
      <c r="I4" s="4">
        <v>42330</v>
      </c>
      <c r="J4" s="4">
        <f>LOWER(DEC2HEX((I4)))</f>
      </c>
      <c r="K4" s="4">
        <f>I4*(2^B4)</f>
      </c>
      <c r="L4" s="4" t="s">
        <v>13</v>
      </c>
    </row>
    <row r="5" spans="1:12" x14ac:dyDescent="0.25">
      <c r="A5" s="2" t="s">
        <v>29</v>
      </c>
      <c r="B5" s="2" t="s">
        <v>13</v>
      </c>
      <c r="C5" s="2" t="s">
        <v>13</v>
      </c>
      <c r="D5" s="2">
        <f>SUM(D6:D9)</f>
      </c>
      <c r="E5" s="2">
        <f>CONCATENATE("32'h",J5)</f>
      </c>
      <c r="F5" s="2" t="s">
        <v>13</v>
      </c>
      <c r="G5" s="2" t="s">
        <v>68</v>
      </c>
      <c r="H5" s="2" t="s">
        <v>69</v>
      </c>
      <c r="I5" s="2" t="s">
        <v>13</v>
      </c>
      <c r="J5" s="2">
        <f>LOWER(DEC2HEX(K5, 8))</f>
      </c>
      <c r="K5" s="2">
        <f>SUM(K6:K9)</f>
      </c>
      <c r="L5" s="2" t="s">
        <v>13</v>
      </c>
    </row>
    <row r="6" spans="1:12" x14ac:dyDescent="0.25">
      <c r="A6" s="3" t="s">
        <v>13</v>
      </c>
      <c r="B6" s="3">
        <v>16</v>
      </c>
      <c r="C6" s="3">
        <v>31</v>
      </c>
      <c r="D6" s="3">
        <f>C6-B6+1</f>
      </c>
      <c r="E6" s="3">
        <f>CONCATENATE(D6,"'h",J6)</f>
      </c>
      <c r="F6" s="3" t="s">
        <v>16</v>
      </c>
      <c r="G6" s="3" t="s">
        <v>17</v>
      </c>
      <c r="H6" s="3" t="s">
        <v>18</v>
      </c>
      <c r="I6" s="3">
        <v>0</v>
      </c>
      <c r="J6" s="3">
        <f>LOWER(DEC2HEX((I6)))</f>
      </c>
      <c r="K6" s="3">
        <f>I6*(2^B6)</f>
      </c>
      <c r="L6" s="3" t="s">
        <v>13</v>
      </c>
    </row>
    <row r="7" spans="1:12" x14ac:dyDescent="0.25">
      <c r="A7" s="4" t="s">
        <v>13</v>
      </c>
      <c r="B7" s="4">
        <v>8</v>
      </c>
      <c r="C7" s="4">
        <v>15</v>
      </c>
      <c r="D7" s="4">
        <f>C7-B7+1</f>
      </c>
      <c r="E7" s="4">
        <f>CONCATENATE(D7,"'h",J7)</f>
      </c>
      <c r="F7" s="4" t="s">
        <v>16</v>
      </c>
      <c r="G7" s="4" t="s">
        <v>70</v>
      </c>
      <c r="H7" s="4" t="s">
        <v>71</v>
      </c>
      <c r="I7" s="4">
        <v>0</v>
      </c>
      <c r="J7" s="4">
        <f>LOWER(DEC2HEX((I7)))</f>
      </c>
      <c r="K7" s="4">
        <f>I7*(2^B7)</f>
      </c>
      <c r="L7" s="4" t="s">
        <v>13</v>
      </c>
    </row>
    <row r="8" spans="1:12" x14ac:dyDescent="0.25">
      <c r="A8" s="3" t="s">
        <v>13</v>
      </c>
      <c r="B8" s="3">
        <v>1</v>
      </c>
      <c r="C8" s="3">
        <v>7</v>
      </c>
      <c r="D8" s="3">
        <f>C8-B8+1</f>
      </c>
      <c r="E8" s="3">
        <f>CONCATENATE(D8,"'h",J8)</f>
      </c>
      <c r="F8" s="3" t="s">
        <v>16</v>
      </c>
      <c r="G8" s="3" t="s">
        <v>17</v>
      </c>
      <c r="H8" s="3" t="s">
        <v>18</v>
      </c>
      <c r="I8" s="3">
        <v>0</v>
      </c>
      <c r="J8" s="3">
        <f>LOWER(DEC2HEX((I8)))</f>
      </c>
      <c r="K8" s="3">
        <f>I8*(2^B8)</f>
      </c>
      <c r="L8" s="3" t="s">
        <v>13</v>
      </c>
    </row>
    <row r="9" spans="1:12" x14ac:dyDescent="0.25">
      <c r="A9" s="4" t="s">
        <v>13</v>
      </c>
      <c r="B9" s="4">
        <v>0</v>
      </c>
      <c r="C9" s="4">
        <v>0</v>
      </c>
      <c r="D9" s="4">
        <f>C9-B9+1</f>
      </c>
      <c r="E9" s="4">
        <f>CONCATENATE(D9,"'h",J9)</f>
      </c>
      <c r="F9" s="4" t="s">
        <v>16</v>
      </c>
      <c r="G9" s="4" t="s">
        <v>21</v>
      </c>
      <c r="H9" s="4" t="s">
        <v>72</v>
      </c>
      <c r="I9" s="4">
        <v>0</v>
      </c>
      <c r="J9" s="4">
        <f>LOWER(DEC2HEX((I9)))</f>
      </c>
      <c r="K9" s="4">
        <f>I9*(2^B9)</f>
      </c>
      <c r="L9" s="4" t="s">
        <v>13</v>
      </c>
    </row>
    <row r="10" spans="1:12" x14ac:dyDescent="0.25">
      <c r="A10" s="2" t="s">
        <v>33</v>
      </c>
      <c r="B10" s="2" t="s">
        <v>13</v>
      </c>
      <c r="C10" s="2" t="s">
        <v>13</v>
      </c>
      <c r="D10" s="2">
        <f>SUM(D11:D14)</f>
      </c>
      <c r="E10" s="2">
        <f>CONCATENATE("32'h",J10)</f>
      </c>
      <c r="F10" s="2" t="s">
        <v>13</v>
      </c>
      <c r="G10" s="2" t="s">
        <v>73</v>
      </c>
      <c r="H10" s="2" t="s">
        <v>74</v>
      </c>
      <c r="I10" s="2" t="s">
        <v>13</v>
      </c>
      <c r="J10" s="2">
        <f>LOWER(DEC2HEX(K10, 8))</f>
      </c>
      <c r="K10" s="2">
        <f>SUM(K11:K14)</f>
      </c>
      <c r="L10" s="2" t="s">
        <v>13</v>
      </c>
    </row>
    <row r="11" spans="1:12" x14ac:dyDescent="0.25">
      <c r="A11" s="3" t="s">
        <v>13</v>
      </c>
      <c r="B11" s="3">
        <v>11</v>
      </c>
      <c r="C11" s="3">
        <v>31</v>
      </c>
      <c r="D11" s="3">
        <f>C11-B11+1</f>
      </c>
      <c r="E11" s="3">
        <f>CONCATENATE(D11,"'h",J11)</f>
      </c>
      <c r="F11" s="3" t="s">
        <v>16</v>
      </c>
      <c r="G11" s="3" t="s">
        <v>17</v>
      </c>
      <c r="H11" s="3" t="s">
        <v>18</v>
      </c>
      <c r="I11" s="3">
        <v>0</v>
      </c>
      <c r="J11" s="3">
        <f>LOWER(DEC2HEX((I11)))</f>
      </c>
      <c r="K11" s="3">
        <f>I11*(2^B11)</f>
      </c>
      <c r="L11" s="3" t="s">
        <v>13</v>
      </c>
    </row>
    <row r="12" spans="1:12" x14ac:dyDescent="0.25">
      <c r="A12" s="4" t="s">
        <v>13</v>
      </c>
      <c r="B12" s="4">
        <v>8</v>
      </c>
      <c r="C12" s="4">
        <v>10</v>
      </c>
      <c r="D12" s="4">
        <f>C12-B12+1</f>
      </c>
      <c r="E12" s="4">
        <f>CONCATENATE(D12,"'h",J12)</f>
      </c>
      <c r="F12" s="4" t="s">
        <v>26</v>
      </c>
      <c r="G12" s="4" t="s">
        <v>75</v>
      </c>
      <c r="H12" s="4" t="s">
        <v>76</v>
      </c>
      <c r="I12" s="4">
        <v>1</v>
      </c>
      <c r="J12" s="4">
        <f>LOWER(DEC2HEX((I12)))</f>
      </c>
      <c r="K12" s="4">
        <f>I12*(2^B12)</f>
      </c>
      <c r="L12" s="4" t="s">
        <v>13</v>
      </c>
    </row>
    <row r="13" spans="1:12" x14ac:dyDescent="0.25">
      <c r="A13" s="3" t="s">
        <v>13</v>
      </c>
      <c r="B13" s="3">
        <v>1</v>
      </c>
      <c r="C13" s="3">
        <v>7</v>
      </c>
      <c r="D13" s="3">
        <f>C13-B13+1</f>
      </c>
      <c r="E13" s="3">
        <f>CONCATENATE(D13,"'h",J13)</f>
      </c>
      <c r="F13" s="3" t="s">
        <v>16</v>
      </c>
      <c r="G13" s="3" t="s">
        <v>17</v>
      </c>
      <c r="H13" s="3" t="s">
        <v>18</v>
      </c>
      <c r="I13" s="3">
        <v>0</v>
      </c>
      <c r="J13" s="3">
        <f>LOWER(DEC2HEX((I13)))</f>
      </c>
      <c r="K13" s="3">
        <f>I13*(2^B13)</f>
      </c>
      <c r="L13" s="3" t="s">
        <v>13</v>
      </c>
    </row>
    <row r="14" spans="1:12" x14ac:dyDescent="0.25">
      <c r="A14" s="4" t="s">
        <v>13</v>
      </c>
      <c r="B14" s="4">
        <v>0</v>
      </c>
      <c r="C14" s="4">
        <v>0</v>
      </c>
      <c r="D14" s="4">
        <f>C14-B14+1</f>
      </c>
      <c r="E14" s="4">
        <f>CONCATENATE(D14,"'h",J14)</f>
      </c>
      <c r="F14" s="4" t="s">
        <v>26</v>
      </c>
      <c r="G14" s="4" t="s">
        <v>77</v>
      </c>
      <c r="H14" s="4" t="s">
        <v>78</v>
      </c>
      <c r="I14" s="4">
        <v>0</v>
      </c>
      <c r="J14" s="4">
        <f>LOWER(DEC2HEX((I14)))</f>
      </c>
      <c r="K14" s="4">
        <f>I14*(2^B14)</f>
      </c>
      <c r="L14" s="4" t="s">
        <v>13</v>
      </c>
    </row>
    <row r="15" spans="1:12" x14ac:dyDescent="0.25">
      <c r="A15" s="2" t="s">
        <v>37</v>
      </c>
      <c r="B15" s="2" t="s">
        <v>13</v>
      </c>
      <c r="C15" s="2" t="s">
        <v>13</v>
      </c>
      <c r="D15" s="2">
        <f>SUM(D16:D17)</f>
      </c>
      <c r="E15" s="2">
        <f>CONCATENATE("32'h",J15)</f>
      </c>
      <c r="F15" s="2" t="s">
        <v>13</v>
      </c>
      <c r="G15" s="2" t="s">
        <v>79</v>
      </c>
      <c r="H15" s="2" t="s">
        <v>80</v>
      </c>
      <c r="I15" s="2" t="s">
        <v>13</v>
      </c>
      <c r="J15" s="2">
        <f>LOWER(DEC2HEX(K15, 8))</f>
      </c>
      <c r="K15" s="2">
        <f>SUM(K16:K17)</f>
      </c>
      <c r="L15" s="2" t="s">
        <v>13</v>
      </c>
    </row>
    <row r="16" spans="1:12" x14ac:dyDescent="0.25">
      <c r="A16" s="3" t="s">
        <v>13</v>
      </c>
      <c r="B16" s="3">
        <v>16</v>
      </c>
      <c r="C16" s="3">
        <v>31</v>
      </c>
      <c r="D16" s="3">
        <f>C16-B16+1</f>
      </c>
      <c r="E16" s="3">
        <f>CONCATENATE(D16,"'h",J16)</f>
      </c>
      <c r="F16" s="3" t="s">
        <v>16</v>
      </c>
      <c r="G16" s="3" t="s">
        <v>17</v>
      </c>
      <c r="H16" s="3" t="s">
        <v>18</v>
      </c>
      <c r="I16" s="3">
        <v>0</v>
      </c>
      <c r="J16" s="3">
        <f>LOWER(DEC2HEX((I16)))</f>
      </c>
      <c r="K16" s="3">
        <f>I16*(2^B16)</f>
      </c>
      <c r="L16" s="3" t="s">
        <v>13</v>
      </c>
    </row>
    <row r="17" spans="1:12" x14ac:dyDescent="0.25">
      <c r="A17" s="4" t="s">
        <v>13</v>
      </c>
      <c r="B17" s="4">
        <v>0</v>
      </c>
      <c r="C17" s="4">
        <v>15</v>
      </c>
      <c r="D17" s="4">
        <f>C17-B17+1</f>
      </c>
      <c r="E17" s="4">
        <f>CONCATENATE(D17,"'h",J17)</f>
      </c>
      <c r="F17" s="4" t="s">
        <v>81</v>
      </c>
      <c r="G17" s="4" t="s">
        <v>82</v>
      </c>
      <c r="H17" s="4" t="s">
        <v>83</v>
      </c>
      <c r="I17" s="4">
        <v>0</v>
      </c>
      <c r="J17" s="4">
        <f>LOWER(DEC2HEX((I17)))</f>
      </c>
      <c r="K17" s="4">
        <f>I17*(2^B17)</f>
      </c>
      <c r="L17" s="4" t="s">
        <v>13</v>
      </c>
    </row>
    <row r="18" spans="1:12" x14ac:dyDescent="0.25">
      <c r="A18" s="2" t="s">
        <v>41</v>
      </c>
      <c r="B18" s="2" t="s">
        <v>13</v>
      </c>
      <c r="C18" s="2" t="s">
        <v>13</v>
      </c>
      <c r="D18" s="2">
        <f>SUM(D19:D19)</f>
      </c>
      <c r="E18" s="2">
        <f>CONCATENATE("32'h",J18)</f>
      </c>
      <c r="F18" s="2" t="s">
        <v>13</v>
      </c>
      <c r="G18" s="2" t="s">
        <v>84</v>
      </c>
      <c r="H18" s="2" t="s">
        <v>85</v>
      </c>
      <c r="I18" s="2" t="s">
        <v>13</v>
      </c>
      <c r="J18" s="2">
        <f>LOWER(DEC2HEX(K18, 8))</f>
      </c>
      <c r="K18" s="2">
        <f>SUM(K19:K19)</f>
      </c>
      <c r="L18" s="2" t="s">
        <v>13</v>
      </c>
    </row>
    <row r="19" spans="1:12" x14ac:dyDescent="0.25">
      <c r="A19" s="4" t="s">
        <v>13</v>
      </c>
      <c r="B19" s="4">
        <v>0</v>
      </c>
      <c r="C19" s="4">
        <v>31</v>
      </c>
      <c r="D19" s="4">
        <f>C19-B19+1</f>
      </c>
      <c r="E19" s="4">
        <f>CONCATENATE(D19,"'h",J19)</f>
      </c>
      <c r="F19" s="4" t="s">
        <v>86</v>
      </c>
      <c r="G19" s="4" t="s">
        <v>87</v>
      </c>
      <c r="H19" s="4" t="s">
        <v>88</v>
      </c>
      <c r="I19" s="4">
        <v>0</v>
      </c>
      <c r="J19" s="4">
        <f>LOWER(DEC2HEX((I19)))</f>
      </c>
      <c r="K19" s="4">
        <f>I19*(2^B19)</f>
      </c>
      <c r="L19" s="4" t="s">
        <v>13</v>
      </c>
    </row>
    <row r="20" spans="1:12" x14ac:dyDescent="0.25">
      <c r="A20" s="2" t="s">
        <v>45</v>
      </c>
      <c r="B20" s="2" t="s">
        <v>13</v>
      </c>
      <c r="C20" s="2" t="s">
        <v>13</v>
      </c>
      <c r="D20" s="2">
        <f>SUM(D21:D22)</f>
      </c>
      <c r="E20" s="2">
        <f>CONCATENATE("32'h",J20)</f>
      </c>
      <c r="F20" s="2" t="s">
        <v>13</v>
      </c>
      <c r="G20" s="2" t="s">
        <v>89</v>
      </c>
      <c r="H20" s="2" t="s">
        <v>90</v>
      </c>
      <c r="I20" s="2" t="s">
        <v>13</v>
      </c>
      <c r="J20" s="2">
        <f>LOWER(DEC2HEX(K20, 8))</f>
      </c>
      <c r="K20" s="2">
        <f>SUM(K21:K22)</f>
      </c>
      <c r="L20" s="2" t="s">
        <v>13</v>
      </c>
    </row>
    <row r="21" spans="1:12" x14ac:dyDescent="0.25">
      <c r="A21" s="3" t="s">
        <v>13</v>
      </c>
      <c r="B21" s="3">
        <v>1</v>
      </c>
      <c r="C21" s="3">
        <v>31</v>
      </c>
      <c r="D21" s="3">
        <f>C21-B21+1</f>
      </c>
      <c r="E21" s="3">
        <f>CONCATENATE(D21,"'h",J21)</f>
      </c>
      <c r="F21" s="3" t="s">
        <v>16</v>
      </c>
      <c r="G21" s="3" t="s">
        <v>17</v>
      </c>
      <c r="H21" s="3" t="s">
        <v>18</v>
      </c>
      <c r="I21" s="3">
        <v>0</v>
      </c>
      <c r="J21" s="3">
        <f>LOWER(DEC2HEX((I21)))</f>
      </c>
      <c r="K21" s="3">
        <f>I21*(2^B21)</f>
      </c>
      <c r="L21" s="3" t="s">
        <v>13</v>
      </c>
    </row>
    <row r="22" spans="1:12" x14ac:dyDescent="0.25">
      <c r="A22" s="4" t="s">
        <v>13</v>
      </c>
      <c r="B22" s="4">
        <v>0</v>
      </c>
      <c r="C22" s="4">
        <v>0</v>
      </c>
      <c r="D22" s="4">
        <f>C22-B22+1</f>
      </c>
      <c r="E22" s="4">
        <f>CONCATENATE(D22,"'h",J22)</f>
      </c>
      <c r="F22" s="4" t="s">
        <v>23</v>
      </c>
      <c r="G22" s="4" t="s">
        <v>91</v>
      </c>
      <c r="H22" s="4" t="s">
        <v>92</v>
      </c>
      <c r="I22" s="4">
        <v>0</v>
      </c>
      <c r="J22" s="4">
        <f>LOWER(DEC2HEX((I22)))</f>
      </c>
      <c r="K22" s="4">
        <f>I22*(2^B22)</f>
      </c>
      <c r="L22" s="4" t="s">
        <v>13</v>
      </c>
    </row>
    <row r="23" spans="1:12" x14ac:dyDescent="0.25">
      <c r="A23" s="2" t="s">
        <v>49</v>
      </c>
      <c r="B23" s="2" t="s">
        <v>13</v>
      </c>
      <c r="C23" s="2" t="s">
        <v>13</v>
      </c>
      <c r="D23" s="2">
        <f>SUM(D24:D25)</f>
      </c>
      <c r="E23" s="2">
        <f>CONCATENATE("32'h",J23)</f>
      </c>
      <c r="F23" s="2" t="s">
        <v>13</v>
      </c>
      <c r="G23" s="2" t="s">
        <v>93</v>
      </c>
      <c r="H23" s="2" t="s">
        <v>94</v>
      </c>
      <c r="I23" s="2" t="s">
        <v>13</v>
      </c>
      <c r="J23" s="2">
        <f>LOWER(DEC2HEX(K23, 8))</f>
      </c>
      <c r="K23" s="2">
        <f>SUM(K24:K25)</f>
      </c>
      <c r="L23" s="2" t="s">
        <v>13</v>
      </c>
    </row>
    <row r="24" spans="1:12" x14ac:dyDescent="0.25">
      <c r="A24" s="3" t="s">
        <v>13</v>
      </c>
      <c r="B24" s="3">
        <v>1</v>
      </c>
      <c r="C24" s="3">
        <v>31</v>
      </c>
      <c r="D24" s="3">
        <f>C24-B24+1</f>
      </c>
      <c r="E24" s="3">
        <f>CONCATENATE(D24,"'h",J24)</f>
      </c>
      <c r="F24" s="3" t="s">
        <v>16</v>
      </c>
      <c r="G24" s="3" t="s">
        <v>17</v>
      </c>
      <c r="H24" s="3" t="s">
        <v>18</v>
      </c>
      <c r="I24" s="3">
        <v>0</v>
      </c>
      <c r="J24" s="3">
        <f>LOWER(DEC2HEX((I24)))</f>
      </c>
      <c r="K24" s="3">
        <f>I24*(2^B24)</f>
      </c>
      <c r="L24" s="3" t="s">
        <v>13</v>
      </c>
    </row>
    <row r="25" spans="1:12" x14ac:dyDescent="0.25">
      <c r="A25" s="4" t="s">
        <v>13</v>
      </c>
      <c r="B25" s="4">
        <v>0</v>
      </c>
      <c r="C25" s="4">
        <v>0</v>
      </c>
      <c r="D25" s="4">
        <f>C25-B25+1</f>
      </c>
      <c r="E25" s="4">
        <f>CONCATENATE(D25,"'h",J25)</f>
      </c>
      <c r="F25" s="4" t="s">
        <v>95</v>
      </c>
      <c r="G25" s="4" t="s">
        <v>96</v>
      </c>
      <c r="H25" s="4" t="s">
        <v>97</v>
      </c>
      <c r="I25" s="4">
        <v>0</v>
      </c>
      <c r="J25" s="4">
        <f>LOWER(DEC2HEX((I25)))</f>
      </c>
      <c r="K25" s="4">
        <f>I25*(2^B25)</f>
      </c>
      <c r="L25" s="4" t="s">
        <v>13</v>
      </c>
    </row>
    <row r="26" spans="1:12" x14ac:dyDescent="0.25">
      <c r="A26" s="2" t="s">
        <v>53</v>
      </c>
      <c r="B26" s="2" t="s">
        <v>13</v>
      </c>
      <c r="C26" s="2" t="s">
        <v>13</v>
      </c>
      <c r="D26" s="2">
        <f>SUM(D27:D28)</f>
      </c>
      <c r="E26" s="2">
        <f>CONCATENATE("32'h",J26)</f>
      </c>
      <c r="F26" s="2" t="s">
        <v>13</v>
      </c>
      <c r="G26" s="2" t="s">
        <v>98</v>
      </c>
      <c r="H26" s="2" t="s">
        <v>99</v>
      </c>
      <c r="I26" s="2" t="s">
        <v>13</v>
      </c>
      <c r="J26" s="2">
        <f>LOWER(DEC2HEX(K26, 8))</f>
      </c>
      <c r="K26" s="2">
        <f>SUM(K27:K28)</f>
      </c>
      <c r="L26" s="2" t="s">
        <v>100</v>
      </c>
    </row>
    <row r="27" spans="1:12" x14ac:dyDescent="0.25">
      <c r="A27" s="3" t="s">
        <v>13</v>
      </c>
      <c r="B27" s="3">
        <v>8</v>
      </c>
      <c r="C27" s="3">
        <v>31</v>
      </c>
      <c r="D27" s="3">
        <f>C27-B27+1</f>
      </c>
      <c r="E27" s="3">
        <f>CONCATENATE(D27,"'h",J27)</f>
      </c>
      <c r="F27" s="3" t="s">
        <v>16</v>
      </c>
      <c r="G27" s="3" t="s">
        <v>17</v>
      </c>
      <c r="H27" s="3" t="s">
        <v>18</v>
      </c>
      <c r="I27" s="3">
        <v>0</v>
      </c>
      <c r="J27" s="3">
        <f>LOWER(DEC2HEX((I27)))</f>
      </c>
      <c r="K27" s="3">
        <f>I27*(2^B27)</f>
      </c>
      <c r="L27" s="3" t="s">
        <v>13</v>
      </c>
    </row>
    <row r="28" spans="1:12" x14ac:dyDescent="0.25">
      <c r="A28" s="4" t="s">
        <v>13</v>
      </c>
      <c r="B28" s="4">
        <v>0</v>
      </c>
      <c r="C28" s="4">
        <v>7</v>
      </c>
      <c r="D28" s="4">
        <f>C28-B28+1</f>
      </c>
      <c r="E28" s="4">
        <f>CONCATENATE(D28,"'h",J28)</f>
      </c>
      <c r="F28" s="4" t="s">
        <v>26</v>
      </c>
      <c r="G28" s="4" t="s">
        <v>101</v>
      </c>
      <c r="H28" s="4" t="s">
        <v>102</v>
      </c>
      <c r="I28" s="4">
        <v>16</v>
      </c>
      <c r="J28" s="4">
        <f>LOWER(DEC2HEX((I28)))</f>
      </c>
      <c r="K28" s="4">
        <f>I28*(2^B28)</f>
      </c>
      <c r="L28" s="4" t="s">
        <v>13</v>
      </c>
    </row>
    <row r="29" spans="1:12" x14ac:dyDescent="0.25">
      <c r="A29" s="2" t="s">
        <v>103</v>
      </c>
      <c r="B29" s="2" t="s">
        <v>13</v>
      </c>
      <c r="C29" s="2" t="s">
        <v>13</v>
      </c>
      <c r="D29" s="2">
        <f>SUM(D30:D31)</f>
      </c>
      <c r="E29" s="2">
        <f>CONCATENATE("32'h",J29)</f>
      </c>
      <c r="F29" s="2" t="s">
        <v>13</v>
      </c>
      <c r="G29" s="2" t="s">
        <v>104</v>
      </c>
      <c r="H29" s="2" t="s">
        <v>105</v>
      </c>
      <c r="I29" s="2" t="s">
        <v>13</v>
      </c>
      <c r="J29" s="2">
        <f>LOWER(DEC2HEX(K29, 8))</f>
      </c>
      <c r="K29" s="2">
        <f>SUM(K30:K31)</f>
      </c>
      <c r="L29" s="2" t="s">
        <v>13</v>
      </c>
    </row>
    <row r="30" spans="1:12" x14ac:dyDescent="0.25">
      <c r="A30" s="3" t="s">
        <v>13</v>
      </c>
      <c r="B30" s="3">
        <v>2</v>
      </c>
      <c r="C30" s="3">
        <v>31</v>
      </c>
      <c r="D30" s="3">
        <f>C30-B30+1</f>
      </c>
      <c r="E30" s="3">
        <f>CONCATENATE(D30,"'h",J30)</f>
      </c>
      <c r="F30" s="3" t="s">
        <v>16</v>
      </c>
      <c r="G30" s="3" t="s">
        <v>17</v>
      </c>
      <c r="H30" s="3" t="s">
        <v>18</v>
      </c>
      <c r="I30" s="3">
        <v>0</v>
      </c>
      <c r="J30" s="3">
        <f>LOWER(DEC2HEX((I30)))</f>
      </c>
      <c r="K30" s="3">
        <f>I30*(2^B30)</f>
      </c>
      <c r="L30" s="3" t="s">
        <v>13</v>
      </c>
    </row>
    <row r="31" spans="1:12" x14ac:dyDescent="0.25">
      <c r="A31" s="4" t="s">
        <v>13</v>
      </c>
      <c r="B31" s="4">
        <v>0</v>
      </c>
      <c r="C31" s="4">
        <v>1</v>
      </c>
      <c r="D31" s="4">
        <f>C31-B31+1</f>
      </c>
      <c r="E31" s="4">
        <f>CONCATENATE(D31,"'h",J31)</f>
      </c>
      <c r="F31" s="4" t="s">
        <v>26</v>
      </c>
      <c r="G31" s="4" t="s">
        <v>106</v>
      </c>
      <c r="H31" s="4" t="s">
        <v>107</v>
      </c>
      <c r="I31" s="4">
        <v>0</v>
      </c>
      <c r="J31" s="4">
        <f>LOWER(DEC2HEX((I31)))</f>
      </c>
      <c r="K31" s="4">
        <f>I31*(2^B31)</f>
      </c>
      <c r="L31" s="4" t="s">
        <v>13</v>
      </c>
    </row>
    <row r="32" spans="1:12" x14ac:dyDescent="0.25">
      <c r="A32" s="2" t="s">
        <v>108</v>
      </c>
      <c r="B32" s="2" t="s">
        <v>13</v>
      </c>
      <c r="C32" s="2" t="s">
        <v>13</v>
      </c>
      <c r="D32" s="2">
        <f>SUM(D33:D34)</f>
      </c>
      <c r="E32" s="2">
        <f>CONCATENATE("32'h",J32)</f>
      </c>
      <c r="F32" s="2" t="s">
        <v>13</v>
      </c>
      <c r="G32" s="2" t="s">
        <v>109</v>
      </c>
      <c r="H32" s="2" t="s">
        <v>110</v>
      </c>
      <c r="I32" s="2" t="s">
        <v>13</v>
      </c>
      <c r="J32" s="2">
        <f>LOWER(DEC2HEX(K32, 8))</f>
      </c>
      <c r="K32" s="2">
        <f>SUM(K33:K34)</f>
      </c>
      <c r="L32" s="2" t="s">
        <v>13</v>
      </c>
    </row>
    <row r="33" spans="1:12" x14ac:dyDescent="0.25">
      <c r="A33" s="3" t="s">
        <v>13</v>
      </c>
      <c r="B33" s="3">
        <v>8</v>
      </c>
      <c r="C33" s="3">
        <v>31</v>
      </c>
      <c r="D33" s="3">
        <f>C33-B33+1</f>
      </c>
      <c r="E33" s="3">
        <f>CONCATENATE(D33,"'h",J33)</f>
      </c>
      <c r="F33" s="3" t="s">
        <v>16</v>
      </c>
      <c r="G33" s="3" t="s">
        <v>17</v>
      </c>
      <c r="H33" s="3" t="s">
        <v>18</v>
      </c>
      <c r="I33" s="3">
        <v>0</v>
      </c>
      <c r="J33" s="3">
        <f>LOWER(DEC2HEX((I33)))</f>
      </c>
      <c r="K33" s="3">
        <f>I33*(2^B33)</f>
      </c>
      <c r="L33" s="3" t="s">
        <v>13</v>
      </c>
    </row>
    <row r="34" spans="1:12" x14ac:dyDescent="0.25">
      <c r="A34" s="4" t="s">
        <v>13</v>
      </c>
      <c r="B34" s="4">
        <v>0</v>
      </c>
      <c r="C34" s="4">
        <v>7</v>
      </c>
      <c r="D34" s="4">
        <f>C34-B34+1</f>
      </c>
      <c r="E34" s="4">
        <f>CONCATENATE(D34,"'h",J34)</f>
      </c>
      <c r="F34" s="4" t="s">
        <v>16</v>
      </c>
      <c r="G34" s="4" t="s">
        <v>111</v>
      </c>
      <c r="H34" s="4" t="s">
        <v>112</v>
      </c>
      <c r="I34" s="4">
        <v>0</v>
      </c>
      <c r="J34" s="4">
        <f>LOWER(DEC2HEX((I34)))</f>
      </c>
      <c r="K34" s="4">
        <f>I34*(2^B34)</f>
      </c>
      <c r="L34" s="4" t="s">
        <v>13</v>
      </c>
    </row>
    <row r="35" spans="1:12" x14ac:dyDescent="0.25">
      <c r="A35" s="2" t="s">
        <v>113</v>
      </c>
      <c r="B35" s="2" t="s">
        <v>13</v>
      </c>
      <c r="C35" s="2" t="s">
        <v>13</v>
      </c>
      <c r="D35" s="2">
        <f>SUM(D36:D37)</f>
      </c>
      <c r="E35" s="2">
        <f>CONCATENATE("32'h",J35)</f>
      </c>
      <c r="F35" s="2" t="s">
        <v>13</v>
      </c>
      <c r="G35" s="2" t="s">
        <v>114</v>
      </c>
      <c r="H35" s="2" t="s">
        <v>115</v>
      </c>
      <c r="I35" s="2" t="s">
        <v>13</v>
      </c>
      <c r="J35" s="2">
        <f>LOWER(DEC2HEX(K35, 8))</f>
      </c>
      <c r="K35" s="2">
        <f>SUM(K36:K37)</f>
      </c>
      <c r="L35" s="2" t="s">
        <v>13</v>
      </c>
    </row>
    <row r="36" spans="1:12" x14ac:dyDescent="0.25">
      <c r="A36" s="3" t="s">
        <v>13</v>
      </c>
      <c r="B36" s="3">
        <v>1</v>
      </c>
      <c r="C36" s="3">
        <v>31</v>
      </c>
      <c r="D36" s="3">
        <f>C36-B36+1</f>
      </c>
      <c r="E36" s="3">
        <f>CONCATENATE(D36,"'h",J36)</f>
      </c>
      <c r="F36" s="3" t="s">
        <v>16</v>
      </c>
      <c r="G36" s="3" t="s">
        <v>17</v>
      </c>
      <c r="H36" s="3" t="s">
        <v>18</v>
      </c>
      <c r="I36" s="3">
        <v>0</v>
      </c>
      <c r="J36" s="3">
        <f>LOWER(DEC2HEX((I36)))</f>
      </c>
      <c r="K36" s="3">
        <f>I36*(2^B36)</f>
      </c>
      <c r="L36" s="3" t="s">
        <v>13</v>
      </c>
    </row>
    <row r="37" spans="1:12" x14ac:dyDescent="0.25">
      <c r="A37" s="4" t="s">
        <v>13</v>
      </c>
      <c r="B37" s="4">
        <v>0</v>
      </c>
      <c r="C37" s="4">
        <v>0</v>
      </c>
      <c r="D37" s="4">
        <f>C37-B37+1</f>
      </c>
      <c r="E37" s="4">
        <f>CONCATENATE(D37,"'h",J37)</f>
      </c>
      <c r="F37" s="4" t="s">
        <v>26</v>
      </c>
      <c r="G37" s="4" t="s">
        <v>116</v>
      </c>
      <c r="H37" s="4" t="s">
        <v>117</v>
      </c>
      <c r="I37" s="4">
        <v>0</v>
      </c>
      <c r="J37" s="4">
        <f>LOWER(DEC2HEX((I37)))</f>
      </c>
      <c r="K37" s="4">
        <f>I37*(2^B37)</f>
      </c>
      <c r="L37" s="4" t="s">
        <v>13</v>
      </c>
    </row>
    <row r="38" spans="1:12" x14ac:dyDescent="0.25">
      <c r="A38" s="2" t="s">
        <v>57</v>
      </c>
      <c r="B38" s="2" t="s">
        <v>13</v>
      </c>
      <c r="C38" s="2" t="s">
        <v>13</v>
      </c>
      <c r="D38" s="2">
        <f>SUM(D39:D39)</f>
      </c>
      <c r="E38" s="2">
        <f>CONCATENATE("32'h",J38)</f>
      </c>
      <c r="F38" s="2" t="s">
        <v>13</v>
      </c>
      <c r="G38" s="2" t="s">
        <v>118</v>
      </c>
      <c r="H38" s="2" t="s">
        <v>119</v>
      </c>
      <c r="I38" s="2" t="s">
        <v>13</v>
      </c>
      <c r="J38" s="2">
        <f>LOWER(DEC2HEX(K38, 8))</f>
      </c>
      <c r="K38" s="2">
        <f>SUM(K39:K39)</f>
      </c>
      <c r="L38" s="2" t="s">
        <v>13</v>
      </c>
    </row>
    <row r="39" spans="1:12" x14ac:dyDescent="0.25">
      <c r="A39" s="4" t="s">
        <v>13</v>
      </c>
      <c r="B39" s="4">
        <v>0</v>
      </c>
      <c r="C39" s="4">
        <v>31</v>
      </c>
      <c r="D39" s="4">
        <f>C39-B39+1</f>
      </c>
      <c r="E39" s="4">
        <f>CONCATENATE(D39,"'h",J39)</f>
      </c>
      <c r="F39" s="4" t="s">
        <v>26</v>
      </c>
      <c r="G39" s="4" t="s">
        <v>120</v>
      </c>
      <c r="H39" s="4" t="s">
        <v>119</v>
      </c>
      <c r="I39" s="4">
        <v>0</v>
      </c>
      <c r="J39" s="4">
        <f>LOWER(DEC2HEX((I39)))</f>
      </c>
      <c r="K39" s="4">
        <f>I39*(2^B39)</f>
      </c>
      <c r="L39" s="4" t="s">
        <v>13</v>
      </c>
    </row>
    <row r="40" spans="1:12" x14ac:dyDescent="0.25">
      <c r="A40" s="2" t="s">
        <v>121</v>
      </c>
      <c r="B40" s="2" t="s">
        <v>13</v>
      </c>
      <c r="C40" s="2" t="s">
        <v>13</v>
      </c>
      <c r="D40" s="2">
        <f>SUM(D41:D41)</f>
      </c>
      <c r="E40" s="2">
        <f>CONCATENATE("32'h",J40)</f>
      </c>
      <c r="F40" s="2" t="s">
        <v>13</v>
      </c>
      <c r="G40" s="2" t="s">
        <v>122</v>
      </c>
      <c r="H40" s="2" t="s">
        <v>123</v>
      </c>
      <c r="I40" s="2" t="s">
        <v>13</v>
      </c>
      <c r="J40" s="2">
        <f>LOWER(DEC2HEX(K40, 8))</f>
      </c>
      <c r="K40" s="2">
        <f>SUM(K41:K41)</f>
      </c>
      <c r="L40" s="2" t="s">
        <v>13</v>
      </c>
    </row>
    <row r="41" spans="1:12" x14ac:dyDescent="0.25">
      <c r="A41" s="4" t="s">
        <v>13</v>
      </c>
      <c r="B41" s="4">
        <v>0</v>
      </c>
      <c r="C41" s="4">
        <v>31</v>
      </c>
      <c r="D41" s="4">
        <f>C41-B41+1</f>
      </c>
      <c r="E41" s="4">
        <f>CONCATENATE(D41,"'h",J41)</f>
      </c>
      <c r="F41" s="4" t="s">
        <v>26</v>
      </c>
      <c r="G41" s="4" t="s">
        <v>124</v>
      </c>
      <c r="H41" s="4" t="s">
        <v>123</v>
      </c>
      <c r="I41" s="4">
        <v>0</v>
      </c>
      <c r="J41" s="4">
        <f>LOWER(DEC2HEX((I41)))</f>
      </c>
      <c r="K41" s="4">
        <f>I41*(2^B41)</f>
      </c>
      <c r="L41" s="4" t="s">
        <v>13</v>
      </c>
    </row>
    <row r="42" spans="1:12" x14ac:dyDescent="0.25">
      <c r="A42" s="2" t="s">
        <v>125</v>
      </c>
      <c r="B42" s="2" t="s">
        <v>13</v>
      </c>
      <c r="C42" s="2" t="s">
        <v>13</v>
      </c>
      <c r="D42" s="2">
        <f>SUM(D43:D43)</f>
      </c>
      <c r="E42" s="2">
        <f>CONCATENATE("32'h",J42)</f>
      </c>
      <c r="F42" s="2" t="s">
        <v>13</v>
      </c>
      <c r="G42" s="2" t="s">
        <v>126</v>
      </c>
      <c r="H42" s="2" t="s">
        <v>127</v>
      </c>
      <c r="I42" s="2" t="s">
        <v>13</v>
      </c>
      <c r="J42" s="2">
        <f>LOWER(DEC2HEX(K42, 8))</f>
      </c>
      <c r="K42" s="2">
        <f>SUM(K43:K43)</f>
      </c>
      <c r="L42" s="2" t="s">
        <v>13</v>
      </c>
    </row>
    <row r="43" spans="1:12" x14ac:dyDescent="0.25">
      <c r="A43" s="4" t="s">
        <v>13</v>
      </c>
      <c r="B43" s="4">
        <v>0</v>
      </c>
      <c r="C43" s="4">
        <v>31</v>
      </c>
      <c r="D43" s="4">
        <f>C43-B43+1</f>
      </c>
      <c r="E43" s="4">
        <f>CONCATENATE(D43,"'h",J43)</f>
      </c>
      <c r="F43" s="4" t="s">
        <v>26</v>
      </c>
      <c r="G43" s="4" t="s">
        <v>128</v>
      </c>
      <c r="H43" s="4" t="s">
        <v>127</v>
      </c>
      <c r="I43" s="4">
        <v>0</v>
      </c>
      <c r="J43" s="4">
        <f>LOWER(DEC2HEX((I43)))</f>
      </c>
      <c r="K43" s="4">
        <f>I43*(2^B43)</f>
      </c>
      <c r="L43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34" customWidth="1"/>
    <col min="5" max="5" width="18" customWidth="1"/>
    <col min="6" max="6" width="16" customWidth="1"/>
    <col min="7" max="7" width="34" customWidth="1"/>
    <col min="8" max="8" width="18" customWidth="1"/>
    <col min="9" max="9" width="16" customWidth="1"/>
    <col min="10" max="10" width="34" customWidth="1"/>
  </cols>
  <sheetData>
    <row r="1" spans="1:10" x14ac:dyDescent="0.25">
      <c r="A1" s="5" t="s">
        <v>129</v>
      </c>
      <c r="B1" s="5" t="s">
        <v>130</v>
      </c>
      <c r="C1" s="5" t="s">
        <v>131</v>
      </c>
      <c r="D1" s="5" t="s">
        <v>132</v>
      </c>
      <c r="E1" s="5"/>
      <c r="F1" s="5"/>
      <c r="G1" s="5"/>
      <c r="H1" s="5"/>
      <c r="I1" s="5"/>
      <c r="J1" s="5"/>
    </row>
    <row r="2" spans="1:10" x14ac:dyDescent="0.25">
      <c r="A2" s="5"/>
      <c r="B2" s="5" t="s">
        <v>133</v>
      </c>
      <c r="C2" s="5" t="s">
        <v>134</v>
      </c>
      <c r="D2" s="5" t="s">
        <v>135</v>
      </c>
      <c r="E2" s="5"/>
      <c r="F2" s="5"/>
      <c r="G2" s="5"/>
      <c r="H2" s="5"/>
      <c r="I2" s="5"/>
      <c r="J2" s="5"/>
    </row>
    <row r="3" spans="1:7" x14ac:dyDescent="0.25">
      <c r="A3" s="6" t="s">
        <v>136</v>
      </c>
      <c r="B3" s="7" t="s">
        <v>136</v>
      </c>
      <c r="C3" s="8" t="s">
        <v>137</v>
      </c>
      <c r="D3" s="9" t="s">
        <v>138</v>
      </c>
      <c r="E3" s="10" t="s">
        <v>136</v>
      </c>
      <c r="F3" s="11" t="s">
        <v>139</v>
      </c>
      <c r="G3" s="12" t="s">
        <v>13</v>
      </c>
    </row>
    <row r="4" spans="1:7" x14ac:dyDescent="0.25">
      <c r="A4" s="6"/>
      <c r="B4" s="13" t="s">
        <v>140</v>
      </c>
      <c r="C4" s="14" t="s">
        <v>141</v>
      </c>
      <c r="D4" s="15" t="s">
        <v>142</v>
      </c>
      <c r="E4" s="16" t="s">
        <v>143</v>
      </c>
      <c r="F4" s="17" t="s">
        <v>144</v>
      </c>
      <c r="G4" s="18" t="s">
        <v>145</v>
      </c>
    </row>
    <row r="5" spans="1:7" x14ac:dyDescent="0.25">
      <c r="A5" s="6" t="s">
        <v>146</v>
      </c>
      <c r="B5" s="19"/>
      <c r="C5" s="19"/>
      <c r="D5" s="19"/>
      <c r="E5" s="10" t="s">
        <v>146</v>
      </c>
      <c r="F5" s="11" t="s">
        <v>146</v>
      </c>
      <c r="G5" s="12" t="s">
        <v>13</v>
      </c>
    </row>
    <row r="6" spans="1:7" x14ac:dyDescent="0.25">
      <c r="A6" s="6"/>
      <c r="B6" s="19"/>
      <c r="C6" s="19"/>
      <c r="D6" s="19"/>
      <c r="E6" s="16" t="s">
        <v>147</v>
      </c>
      <c r="F6" s="17" t="s">
        <v>144</v>
      </c>
      <c r="G6" s="18" t="s">
        <v>148</v>
      </c>
    </row>
    <row r="7" spans="1:7" x14ac:dyDescent="0.25">
      <c r="A7" s="6" t="s">
        <v>149</v>
      </c>
      <c r="B7" s="19"/>
      <c r="C7" s="19"/>
      <c r="D7" s="19"/>
      <c r="E7" s="10" t="s">
        <v>149</v>
      </c>
      <c r="F7" s="11" t="s">
        <v>150</v>
      </c>
      <c r="G7" s="12" t="s">
        <v>13</v>
      </c>
    </row>
    <row r="8" spans="1:7" x14ac:dyDescent="0.25">
      <c r="A8" s="6"/>
      <c r="B8" s="19"/>
      <c r="C8" s="19"/>
      <c r="D8" s="19"/>
      <c r="E8" s="16" t="s">
        <v>151</v>
      </c>
      <c r="F8" s="17" t="s">
        <v>144</v>
      </c>
      <c r="G8" s="18" t="s">
        <v>152</v>
      </c>
    </row>
    <row r="9" spans="1:7" x14ac:dyDescent="0.25">
      <c r="A9" s="6" t="s">
        <v>153</v>
      </c>
      <c r="B9" s="19"/>
      <c r="C9" s="19"/>
      <c r="D9" s="19"/>
      <c r="E9" s="10" t="s">
        <v>153</v>
      </c>
      <c r="F9" s="11" t="s">
        <v>154</v>
      </c>
      <c r="G9" s="12" t="s">
        <v>13</v>
      </c>
    </row>
    <row r="10" spans="1:7" x14ac:dyDescent="0.25">
      <c r="A10" s="6"/>
      <c r="B10" s="19"/>
      <c r="C10" s="19"/>
      <c r="D10" s="19"/>
      <c r="E10" s="16" t="s">
        <v>155</v>
      </c>
      <c r="F10" s="17" t="s">
        <v>144</v>
      </c>
      <c r="G10" s="18" t="s">
        <v>156</v>
      </c>
    </row>
    <row r="11" spans="1:7" x14ac:dyDescent="0.25">
      <c r="A11" s="6" t="s">
        <v>157</v>
      </c>
      <c r="B11" s="19"/>
      <c r="C11" s="19"/>
      <c r="D11" s="19"/>
      <c r="E11" s="10" t="s">
        <v>157</v>
      </c>
      <c r="F11" s="11" t="s">
        <v>150</v>
      </c>
      <c r="G11" s="12" t="s">
        <v>13</v>
      </c>
    </row>
    <row r="12" spans="1:7" x14ac:dyDescent="0.25">
      <c r="A12" s="6"/>
      <c r="B12" s="19"/>
      <c r="C12" s="19"/>
      <c r="D12" s="19"/>
      <c r="E12" s="16" t="s">
        <v>158</v>
      </c>
      <c r="F12" s="17" t="s">
        <v>144</v>
      </c>
      <c r="G12" s="18" t="s">
        <v>159</v>
      </c>
    </row>
    <row r="13" spans="1:10" x14ac:dyDescent="0.25">
      <c r="A13" s="6" t="s">
        <v>160</v>
      </c>
      <c r="B13" s="19"/>
      <c r="C13" s="19"/>
      <c r="D13" s="19"/>
      <c r="E13" s="7" t="s">
        <v>160</v>
      </c>
      <c r="F13" s="8" t="s">
        <v>161</v>
      </c>
      <c r="G13" s="9" t="s">
        <v>162</v>
      </c>
      <c r="H13" s="10" t="s">
        <v>163</v>
      </c>
      <c r="I13" s="11" t="s">
        <v>164</v>
      </c>
      <c r="J13" s="12" t="s">
        <v>13</v>
      </c>
    </row>
    <row r="14" spans="1:10" x14ac:dyDescent="0.25">
      <c r="A14" s="6"/>
      <c r="B14" s="19"/>
      <c r="C14" s="19"/>
      <c r="D14" s="19"/>
      <c r="E14" s="13" t="s">
        <v>165</v>
      </c>
      <c r="F14" s="14" t="s">
        <v>141</v>
      </c>
      <c r="G14" s="15" t="s">
        <v>166</v>
      </c>
      <c r="H14" s="16" t="s">
        <v>167</v>
      </c>
      <c r="I14" s="17" t="s">
        <v>144</v>
      </c>
      <c r="J14" s="18" t="s">
        <v>168</v>
      </c>
    </row>
    <row r="15" spans="1:10" x14ac:dyDescent="0.25">
      <c r="A15" s="6" t="s">
        <v>169</v>
      </c>
      <c r="B15" s="19"/>
      <c r="C15" s="19"/>
      <c r="D15" s="19"/>
      <c r="E15" s="19"/>
      <c r="F15" s="19"/>
      <c r="G15" s="19"/>
      <c r="H15" s="10" t="s">
        <v>164</v>
      </c>
      <c r="I15" s="11" t="s">
        <v>164</v>
      </c>
      <c r="J15" s="12" t="s">
        <v>13</v>
      </c>
    </row>
    <row r="16" spans="1:10" x14ac:dyDescent="0.25">
      <c r="A16" s="6"/>
      <c r="B16" s="19"/>
      <c r="C16" s="19"/>
      <c r="D16" s="19"/>
      <c r="E16" s="19"/>
      <c r="F16" s="19"/>
      <c r="G16" s="19"/>
      <c r="H16" s="16" t="s">
        <v>170</v>
      </c>
      <c r="I16" s="17" t="s">
        <v>144</v>
      </c>
      <c r="J16" s="18" t="s">
        <v>171</v>
      </c>
    </row>
    <row r="17" spans="1:10" x14ac:dyDescent="0.25">
      <c r="A17" s="6" t="s">
        <v>172</v>
      </c>
      <c r="B17" s="19"/>
      <c r="C17" s="19"/>
      <c r="D17" s="19"/>
      <c r="E17" s="19"/>
      <c r="F17" s="19"/>
      <c r="G17" s="19"/>
      <c r="H17" s="20" t="s">
        <v>173</v>
      </c>
      <c r="I17" s="21" t="s">
        <v>174</v>
      </c>
      <c r="J17" s="22" t="s">
        <v>13</v>
      </c>
    </row>
    <row r="18" spans="1:10" x14ac:dyDescent="0.25">
      <c r="A18" s="6"/>
      <c r="B18" s="19"/>
      <c r="C18" s="19"/>
      <c r="D18" s="19"/>
      <c r="E18" s="19"/>
      <c r="F18" s="19"/>
      <c r="G18" s="19"/>
      <c r="H18" s="23" t="s">
        <v>175</v>
      </c>
      <c r="I18" s="24" t="s">
        <v>176</v>
      </c>
      <c r="J18" s="25" t="s">
        <v>177</v>
      </c>
    </row>
    <row r="19" spans="1:7" x14ac:dyDescent="0.25">
      <c r="A19" s="6" t="s">
        <v>178</v>
      </c>
      <c r="B19" s="19"/>
      <c r="C19" s="19"/>
      <c r="D19" s="19"/>
      <c r="E19" s="26" t="s">
        <v>178</v>
      </c>
      <c r="F19" s="27" t="s">
        <v>161</v>
      </c>
      <c r="G19" s="28" t="s">
        <v>179</v>
      </c>
    </row>
    <row r="20" spans="1:7" x14ac:dyDescent="0.25">
      <c r="A20" s="6"/>
      <c r="B20" s="19"/>
      <c r="C20" s="19"/>
      <c r="D20" s="19"/>
      <c r="E20" s="29" t="s">
        <v>180</v>
      </c>
      <c r="F20" s="30" t="s">
        <v>181</v>
      </c>
      <c r="G20" s="31" t="s">
        <v>166</v>
      </c>
    </row>
    <row r="21" spans="1:7" x14ac:dyDescent="0.25">
      <c r="A21" s="6" t="s">
        <v>182</v>
      </c>
      <c r="B21" s="19"/>
      <c r="C21" s="19"/>
      <c r="D21" s="19"/>
      <c r="E21" s="20" t="s">
        <v>182</v>
      </c>
      <c r="F21" s="21" t="s">
        <v>183</v>
      </c>
      <c r="G21" s="22" t="s">
        <v>184</v>
      </c>
    </row>
    <row r="22" spans="1:7" x14ac:dyDescent="0.25">
      <c r="A22" s="6"/>
      <c r="B22" s="19"/>
      <c r="C22" s="19"/>
      <c r="D22" s="19"/>
      <c r="E22" s="23" t="s">
        <v>185</v>
      </c>
      <c r="F22" s="24" t="s">
        <v>176</v>
      </c>
      <c r="G22" s="25" t="s">
        <v>186</v>
      </c>
    </row>
  </sheetData>
  <mergeCells count="11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regfile_sha256</vt:lpstr>
      <vt:lpstr>regfile_smoke</vt:lpstr>
      <vt:lpstr>bus_map_soc_wb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autowire</dc:creator>
  <dc:title/>
  <dc:subject/>
  <dc:description/>
  <cp:keywords/>
  <cp:category/>
  <cp:lastModifiedBy>autowire</cp:lastModifiedBy>
  <dcterms:created xsi:type="dcterms:W3CDTF">1970-01-01T00:00:00Z</dcterms:created>
  <dcterms:modified xsi:type="dcterms:W3CDTF">1970-01-01T00:00:00Z</dcterms:modified>
</cp:coreProperties>
</file>